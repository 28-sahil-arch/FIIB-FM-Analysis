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Vaio\Downloads\"/>
    </mc:Choice>
  </mc:AlternateContent>
  <xr:revisionPtr revIDLastSave="0" documentId="13_ncr:1_{F829BB09-5BE8-425B-93EF-FF79A132538C}" xr6:coauthVersionLast="47" xr6:coauthVersionMax="47" xr10:uidLastSave="{00000000-0000-0000-0000-000000000000}"/>
  <bookViews>
    <workbookView xWindow="-120" yWindow="-120" windowWidth="20730" windowHeight="11160" tabRatio="500" firstSheet="1" activeTab="5" xr2:uid="{00000000-000D-0000-FFFF-FFFF00000000}"/>
  </bookViews>
  <sheets>
    <sheet name="README" sheetId="1" r:id="rId1"/>
    <sheet name="Analysis" sheetId="2" r:id="rId2"/>
    <sheet name="Profit_Loss" sheetId="3" r:id="rId3"/>
    <sheet name="Balance_Sheet" sheetId="4" r:id="rId4"/>
    <sheet name="Cash_Flow" sheetId="5" r:id="rId5"/>
    <sheet name="Sheet1" sheetId="9" r:id="rId6"/>
    <sheet name="Ratios_Reported" sheetId="6" r:id="rId7"/>
    <sheet name="Quarterly" sheetId="7" r:id="rId8"/>
    <sheet name="Shareholding" sheetId="8" r:id="rId9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19" i="9" l="1"/>
  <c r="I19" i="9"/>
  <c r="H19" i="9"/>
  <c r="G19" i="9"/>
  <c r="F19" i="9"/>
  <c r="E19" i="9"/>
  <c r="D19" i="9"/>
  <c r="C19" i="9"/>
  <c r="B19" i="9"/>
  <c r="D35" i="9"/>
  <c r="C35" i="9"/>
  <c r="B35" i="9"/>
  <c r="D34" i="9"/>
  <c r="D30" i="9"/>
  <c r="D29" i="9"/>
  <c r="D28" i="9"/>
  <c r="D27" i="9"/>
  <c r="D31" i="9" s="1"/>
  <c r="D26" i="9"/>
  <c r="D25" i="9"/>
  <c r="D24" i="9"/>
  <c r="C34" i="9"/>
  <c r="C30" i="9"/>
  <c r="C29" i="9"/>
  <c r="C28" i="9"/>
  <c r="C27" i="9"/>
  <c r="C31" i="9" s="1"/>
  <c r="C26" i="9"/>
  <c r="C33" i="9" s="1"/>
  <c r="C25" i="9"/>
  <c r="C24" i="9"/>
  <c r="D23" i="9"/>
  <c r="C23" i="9"/>
  <c r="B23" i="9"/>
  <c r="B34" i="9"/>
  <c r="B33" i="9"/>
  <c r="B32" i="9"/>
  <c r="B31" i="9"/>
  <c r="B30" i="9"/>
  <c r="B29" i="9"/>
  <c r="B28" i="9"/>
  <c r="B27" i="9"/>
  <c r="B26" i="9"/>
  <c r="B25" i="9"/>
  <c r="B24" i="9"/>
  <c r="D7" i="9"/>
  <c r="D16" i="9" s="1"/>
  <c r="D6" i="9"/>
  <c r="C6" i="9"/>
  <c r="C18" i="9"/>
  <c r="C17" i="9"/>
  <c r="C13" i="9"/>
  <c r="C14" i="9" s="1"/>
  <c r="C12" i="9"/>
  <c r="C15" i="9" s="1"/>
  <c r="C11" i="9"/>
  <c r="C10" i="9"/>
  <c r="C9" i="9"/>
  <c r="C16" i="9" s="1"/>
  <c r="C8" i="9"/>
  <c r="C7" i="9"/>
  <c r="B18" i="9"/>
  <c r="B17" i="9"/>
  <c r="E16" i="9"/>
  <c r="F16" i="9"/>
  <c r="G16" i="9"/>
  <c r="H16" i="9"/>
  <c r="I16" i="9"/>
  <c r="J16" i="9"/>
  <c r="B16" i="9"/>
  <c r="D15" i="9"/>
  <c r="E15" i="9"/>
  <c r="F15" i="9"/>
  <c r="G15" i="9"/>
  <c r="H15" i="9"/>
  <c r="I15" i="9"/>
  <c r="J15" i="9"/>
  <c r="D14" i="9"/>
  <c r="E14" i="9"/>
  <c r="F14" i="9"/>
  <c r="G14" i="9"/>
  <c r="H14" i="9"/>
  <c r="I14" i="9"/>
  <c r="J14" i="9"/>
  <c r="B14" i="9"/>
  <c r="B15" i="9"/>
  <c r="B13" i="9"/>
  <c r="B12" i="9"/>
  <c r="B11" i="9"/>
  <c r="B10" i="9"/>
  <c r="B9" i="9"/>
  <c r="B8" i="9"/>
  <c r="B7" i="9"/>
  <c r="B6" i="9"/>
  <c r="M21" i="2"/>
  <c r="L21" i="2"/>
  <c r="K21" i="2"/>
  <c r="J21" i="2"/>
  <c r="I21" i="2"/>
  <c r="H21" i="2"/>
  <c r="G21" i="2"/>
  <c r="F21" i="2"/>
  <c r="E21" i="2"/>
  <c r="D21" i="2"/>
  <c r="C21" i="2"/>
  <c r="B21" i="2"/>
  <c r="M20" i="2"/>
  <c r="L20" i="2"/>
  <c r="K20" i="2"/>
  <c r="J20" i="2"/>
  <c r="I20" i="2"/>
  <c r="H20" i="2"/>
  <c r="G20" i="2"/>
  <c r="F20" i="2"/>
  <c r="E20" i="2"/>
  <c r="D20" i="2"/>
  <c r="C20" i="2"/>
  <c r="B20" i="2"/>
  <c r="M19" i="2"/>
  <c r="L19" i="2"/>
  <c r="K19" i="2"/>
  <c r="J19" i="2"/>
  <c r="I19" i="2"/>
  <c r="H19" i="2"/>
  <c r="G19" i="2"/>
  <c r="F19" i="2"/>
  <c r="E19" i="2"/>
  <c r="D19" i="2"/>
  <c r="C19" i="2"/>
  <c r="B19" i="2"/>
  <c r="M17" i="2"/>
  <c r="L17" i="2"/>
  <c r="K17" i="2"/>
  <c r="J17" i="2"/>
  <c r="I17" i="2"/>
  <c r="H17" i="2"/>
  <c r="G17" i="2"/>
  <c r="F17" i="2"/>
  <c r="E17" i="2"/>
  <c r="D17" i="2"/>
  <c r="C17" i="2"/>
  <c r="B17" i="2"/>
  <c r="M16" i="2"/>
  <c r="L16" i="2"/>
  <c r="K16" i="2"/>
  <c r="J16" i="2"/>
  <c r="I16" i="2"/>
  <c r="H16" i="2"/>
  <c r="G16" i="2"/>
  <c r="F16" i="2"/>
  <c r="E16" i="2"/>
  <c r="D16" i="2"/>
  <c r="C16" i="2"/>
  <c r="B16" i="2"/>
  <c r="M15" i="2"/>
  <c r="L15" i="2"/>
  <c r="K15" i="2"/>
  <c r="J15" i="2"/>
  <c r="I15" i="2"/>
  <c r="H15" i="2"/>
  <c r="G15" i="2"/>
  <c r="F15" i="2"/>
  <c r="E15" i="2"/>
  <c r="D15" i="2"/>
  <c r="C15" i="2"/>
  <c r="B15" i="2"/>
  <c r="M13" i="2"/>
  <c r="L13" i="2"/>
  <c r="K13" i="2"/>
  <c r="J13" i="2"/>
  <c r="I13" i="2"/>
  <c r="H13" i="2"/>
  <c r="G13" i="2"/>
  <c r="F13" i="2"/>
  <c r="E13" i="2"/>
  <c r="D13" i="2"/>
  <c r="C13" i="2"/>
  <c r="B13" i="2"/>
  <c r="M12" i="2"/>
  <c r="L12" i="2"/>
  <c r="K12" i="2"/>
  <c r="J12" i="2"/>
  <c r="I12" i="2"/>
  <c r="H12" i="2"/>
  <c r="G12" i="2"/>
  <c r="F12" i="2"/>
  <c r="E12" i="2"/>
  <c r="D12" i="2"/>
  <c r="C12" i="2"/>
  <c r="B12" i="2"/>
  <c r="M11" i="2"/>
  <c r="L11" i="2"/>
  <c r="K11" i="2"/>
  <c r="J11" i="2"/>
  <c r="I11" i="2"/>
  <c r="H11" i="2"/>
  <c r="G11" i="2"/>
  <c r="F11" i="2"/>
  <c r="E11" i="2"/>
  <c r="D11" i="2"/>
  <c r="C11" i="2"/>
  <c r="B11" i="2"/>
  <c r="M10" i="2"/>
  <c r="L10" i="2"/>
  <c r="K10" i="2"/>
  <c r="J10" i="2"/>
  <c r="I10" i="2"/>
  <c r="H10" i="2"/>
  <c r="G10" i="2"/>
  <c r="F10" i="2"/>
  <c r="E10" i="2"/>
  <c r="D10" i="2"/>
  <c r="C10" i="2"/>
  <c r="B10" i="2"/>
  <c r="M8" i="2"/>
  <c r="L8" i="2"/>
  <c r="K8" i="2"/>
  <c r="J8" i="2"/>
  <c r="I8" i="2"/>
  <c r="H8" i="2"/>
  <c r="G8" i="2"/>
  <c r="F8" i="2"/>
  <c r="E8" i="2"/>
  <c r="D8" i="2"/>
  <c r="C8" i="2"/>
  <c r="M7" i="2"/>
  <c r="L7" i="2"/>
  <c r="K7" i="2"/>
  <c r="J7" i="2"/>
  <c r="I7" i="2"/>
  <c r="H7" i="2"/>
  <c r="G7" i="2"/>
  <c r="F7" i="2"/>
  <c r="E7" i="2"/>
  <c r="D7" i="2"/>
  <c r="C7" i="2"/>
  <c r="M6" i="2"/>
  <c r="L6" i="2"/>
  <c r="K6" i="2"/>
  <c r="J6" i="2"/>
  <c r="I6" i="2"/>
  <c r="H6" i="2"/>
  <c r="G6" i="2"/>
  <c r="F6" i="2"/>
  <c r="E6" i="2"/>
  <c r="D6" i="2"/>
  <c r="C6" i="2"/>
  <c r="D32" i="9" l="1"/>
  <c r="D33" i="9"/>
  <c r="C32" i="9"/>
</calcChain>
</file>

<file path=xl/sharedStrings.xml><?xml version="1.0" encoding="utf-8"?>
<sst xmlns="http://schemas.openxmlformats.org/spreadsheetml/2006/main" count="243" uniqueCount="142">
  <si>
    <t>TCS (Tata Consultancy Services Ltd) — Financial Analytics Dataset</t>
  </si>
  <si>
    <t>Prepared for: Financial Analytics for Managers, FIIB — Dr Vibhav Pratap</t>
  </si>
  <si>
    <t>Company</t>
  </si>
  <si>
    <t>Tata Consultancy Services Ltd | NSE: TCS | BSE: 532540 | Tata Group flagship</t>
  </si>
  <si>
    <t>Statements</t>
  </si>
  <si>
    <t>Consolidated, Rs. crore, fiscal years ending 31 March (FY2015–FY2026); quarterly Sep-2023 to Sep-2026</t>
  </si>
  <si>
    <t>Source</t>
  </si>
  <si>
    <t>Source: Screener.in, TCS consolidated financials (data by C-MOTS), Rs. crore, accessed 23 Oct 2026. https://www.screener.in/company/TCS/consolidated/</t>
  </si>
  <si>
    <t>Market snapshot (22 Oct 2026)</t>
  </si>
  <si>
    <t>Price Rs 2,507 | Mkt cap Rs 9,07,736 cr | P/E 16.6 | Book value Rs 329 | Div yield 2.55% | 52-wk H/L 3,350 / 1,976 | Face value Rs 1</t>
  </si>
  <si>
    <t>Sheets</t>
  </si>
  <si>
    <t>Analysis</t>
  </si>
  <si>
    <t>Ratios computed with live Excel formulas (growth, margins, ROE, ROA, D/E, coverage, CFO/PAT, FCF margin, DuPont)</t>
  </si>
  <si>
    <t>Profit_Loss / Balance_Sheet / Cash_Flow</t>
  </si>
  <si>
    <t>Raw annual statements (blue = hardcoded source data)</t>
  </si>
  <si>
    <t>Ratios_Reported</t>
  </si>
  <si>
    <t>Debtor days, working-capital days, ROCE as published by the source</t>
  </si>
  <si>
    <t>Quarterly</t>
  </si>
  <si>
    <t>13 quarters of P&amp;L — good for trend/seasonality and simple forecasting exercises</t>
  </si>
  <si>
    <t>Shareholding</t>
  </si>
  <si>
    <t>Promoter / FII / DII / Public holding, 12 quarters</t>
  </si>
  <si>
    <t>Data notes</t>
  </si>
  <si>
    <t>1</t>
  </si>
  <si>
    <t>Other Income is negative in FY2026 (Rs -124 cr) and in Sep-25 / Dec-25 quarters — a one-off item worth discussing in class.</t>
  </si>
  <si>
    <t>2</t>
  </si>
  <si>
    <t>Equity capital roughly doubles in FY2019 because of a 1:1 bonus issue; EPS series is as reported.</t>
  </si>
  <si>
    <t>3</t>
  </si>
  <si>
    <t>Borrowings jump in FY2020 mainly from lease liabilities after Ind AS 116 — TCS is effectively debt-free; good teaching point for D/E.</t>
  </si>
  <si>
    <t>4</t>
  </si>
  <si>
    <t>Balance sheet ties: Equity + Reserves + Borrowings + Other Liabilities = Total = Fixed Assets + CWIP + Investments + Other Assets (checked for all years).</t>
  </si>
  <si>
    <t>5</t>
  </si>
  <si>
    <t>Daily share prices are not included. Pull them in Python: yfinance.download('TCS.NS', start='2015-04-01').</t>
  </si>
  <si>
    <t>Python</t>
  </si>
  <si>
    <t>pd.read_excel('TCS_Financial_Dataset.xlsx', sheet_name=None)  or use TCS_financials_long.csv (tidy format)</t>
  </si>
  <si>
    <t>TCS — Ratio Analysis (computed by formulas from the statement sheets)</t>
  </si>
  <si>
    <t>Black = formula. Edit the blue inputs on the statement sheets and everything here recalculates.</t>
  </si>
  <si>
    <t>Ratio</t>
  </si>
  <si>
    <t>FY2015</t>
  </si>
  <si>
    <t>FY2016</t>
  </si>
  <si>
    <t>FY2017</t>
  </si>
  <si>
    <t>FY2018</t>
  </si>
  <si>
    <t>FY2019</t>
  </si>
  <si>
    <t>FY2020</t>
  </si>
  <si>
    <t>FY2021</t>
  </si>
  <si>
    <t>FY2022</t>
  </si>
  <si>
    <t>FY2023</t>
  </si>
  <si>
    <t>FY2024</t>
  </si>
  <si>
    <t>FY2025</t>
  </si>
  <si>
    <t>FY2026</t>
  </si>
  <si>
    <t>Growth</t>
  </si>
  <si>
    <t>Revenue growth (YoY)</t>
  </si>
  <si>
    <t>-</t>
  </si>
  <si>
    <t>Net profit growth (YoY)</t>
  </si>
  <si>
    <t>EPS growth (YoY)</t>
  </si>
  <si>
    <t>Profitability</t>
  </si>
  <si>
    <t>EBITDA margin</t>
  </si>
  <si>
    <t>Net profit margin</t>
  </si>
  <si>
    <t>Return on equity (closing equity)</t>
  </si>
  <si>
    <t>Return on assets (closing assets)</t>
  </si>
  <si>
    <t>Efficiency &amp; leverage</t>
  </si>
  <si>
    <t>Asset turnover (x)</t>
  </si>
  <si>
    <t>Debt-to-equity (x)</t>
  </si>
  <si>
    <t>Interest coverage (EBIT/Interest, x)</t>
  </si>
  <si>
    <t>Cash flow quality</t>
  </si>
  <si>
    <t>CFO / Net profit (x)</t>
  </si>
  <si>
    <t>FCF margin</t>
  </si>
  <si>
    <t>DuPont check: margin × turnover × equity multiplier</t>
  </si>
  <si>
    <t>TCS — Consolidated Profit &amp; Loss (annual, FY ending March)</t>
  </si>
  <si>
    <t>Line item (Rs. crore)</t>
  </si>
  <si>
    <t>Sales</t>
  </si>
  <si>
    <t>Expenses</t>
  </si>
  <si>
    <t>Operating Profit (EBITDA)</t>
  </si>
  <si>
    <t>Other Income</t>
  </si>
  <si>
    <t>Interest</t>
  </si>
  <si>
    <t>Depreciation</t>
  </si>
  <si>
    <t>Profit before Tax</t>
  </si>
  <si>
    <t>Tax Rate (%)</t>
  </si>
  <si>
    <t>Net Profit</t>
  </si>
  <si>
    <t>EPS (Rs)</t>
  </si>
  <si>
    <t>Dividend Payout (%)</t>
  </si>
  <si>
    <t>TCS — Consolidated Balance Sheet (as at 31 March)</t>
  </si>
  <si>
    <t>Equity Capital</t>
  </si>
  <si>
    <t>Reserves</t>
  </si>
  <si>
    <t>Borrowings</t>
  </si>
  <si>
    <t>Other Liabilities</t>
  </si>
  <si>
    <t>Total Liabilities</t>
  </si>
  <si>
    <t>Fixed Assets</t>
  </si>
  <si>
    <t>CWIP</t>
  </si>
  <si>
    <t>Investments</t>
  </si>
  <si>
    <t>Other Assets</t>
  </si>
  <si>
    <t>Total Assets</t>
  </si>
  <si>
    <t>TCS — Consolidated Cash Flow Statement (annual)</t>
  </si>
  <si>
    <t>Cash from Operating Activity</t>
  </si>
  <si>
    <t>Cash from Investing Activity</t>
  </si>
  <si>
    <t>Cash from Financing Activity</t>
  </si>
  <si>
    <t>Net Cash Flow</t>
  </si>
  <si>
    <t>Free Cash Flow</t>
  </si>
  <si>
    <t>TCS — Efficiency ratios as reported by source</t>
  </si>
  <si>
    <t>Debtor Days</t>
  </si>
  <si>
    <t>Working Capital Days</t>
  </si>
  <si>
    <t>ROCE (%)</t>
  </si>
  <si>
    <t>TCS — Consolidated Quarterly Results (quarter ending)</t>
  </si>
  <si>
    <t>Sep-23</t>
  </si>
  <si>
    <t>Dec-23</t>
  </si>
  <si>
    <t>Mar-24</t>
  </si>
  <si>
    <t>Jun-24</t>
  </si>
  <si>
    <t>Sep-24</t>
  </si>
  <si>
    <t>Dec-24</t>
  </si>
  <si>
    <t>Mar-25</t>
  </si>
  <si>
    <t>Jun-25</t>
  </si>
  <si>
    <t>Sep-25</t>
  </si>
  <si>
    <t>Dec-25</t>
  </si>
  <si>
    <t>Mar-26</t>
  </si>
  <si>
    <t>Jun-26</t>
  </si>
  <si>
    <t>Sep-26</t>
  </si>
  <si>
    <t>Operating Profit</t>
  </si>
  <si>
    <t>TCS — Shareholding Pattern (quarter ending, %)</t>
  </si>
  <si>
    <t>Promoters (%)</t>
  </si>
  <si>
    <t>FIIs (%)</t>
  </si>
  <si>
    <t>DIIs (%)</t>
  </si>
  <si>
    <t>Government (%)</t>
  </si>
  <si>
    <t>Public (%)</t>
  </si>
  <si>
    <t>No. of Shareholders</t>
  </si>
  <si>
    <t>TCS — Descriptive Statistics, Annual (FY2015–FY2026)</t>
  </si>
  <si>
    <t>All cells are formulas linked to the statement and Analysis sheets. Growth rates use FY2016–FY2026 (11 obs.).</t>
  </si>
  <si>
    <t>A. Levels</t>
  </si>
  <si>
    <t>Statistic</t>
  </si>
  <si>
    <t>Count (N)</t>
  </si>
  <si>
    <t>Mean</t>
  </si>
  <si>
    <t>Median</t>
  </si>
  <si>
    <t>Standard deviation (sample)</t>
  </si>
  <si>
    <t>Minimum</t>
  </si>
  <si>
    <t>1st quartile (Q1)</t>
  </si>
  <si>
    <t>3rd quartile (Q3)</t>
  </si>
  <si>
    <t>Maximum</t>
  </si>
  <si>
    <t>Range</t>
  </si>
  <si>
    <t>Interquartile range (IQR)</t>
  </si>
  <si>
    <t>Coefficient of variation</t>
  </si>
  <si>
    <t>Skewness</t>
  </si>
  <si>
    <t>Excess kurtosis</t>
  </si>
  <si>
    <t>CAGR (first to last period)</t>
  </si>
  <si>
    <t>B. Ratios &amp; growth rates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</si>
</sst>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0.00\x"/>
    <numFmt numFmtId="166" formatCode="#,##0.0\x"/>
    <numFmt numFmtId="167" formatCode="#,##0;\(#,##0\);\-"/>
  </numFmts>
  <fonts count="15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sz val="11"/>
      <name val="Arial"/>
      <charset val="1"/>
    </font>
    <font>
      <b/>
      <sz val="11"/>
      <name val="Arial"/>
      <charset val="1"/>
    </font>
    <font>
      <b/>
      <sz val="13"/>
      <name val="Arial"/>
      <charset val="1"/>
    </font>
    <font>
      <i/>
      <sz val="8"/>
      <color rgb="FF666666"/>
      <name val="Arial"/>
      <charset val="1"/>
    </font>
    <font>
      <b/>
      <sz val="11"/>
      <color rgb="FFFFFFFF"/>
      <name val="Arial"/>
      <charset val="1"/>
    </font>
    <font>
      <sz val="11"/>
      <color rgb="FF0000FF"/>
      <name val="Arial"/>
      <charset val="1"/>
    </font>
    <font>
      <b/>
      <sz val="14"/>
      <name val="Arial"/>
      <family val="2"/>
    </font>
    <font>
      <i/>
      <sz val="8"/>
      <color rgb="FF666666"/>
      <name val="Arial"/>
      <family val="2"/>
    </font>
    <font>
      <sz val="11"/>
      <color rgb="FF000000"/>
      <name val="Calibri"/>
      <family val="2"/>
    </font>
    <font>
      <b/>
      <sz val="12"/>
      <name val="Arial"/>
      <family val="2"/>
    </font>
    <font>
      <b/>
      <sz val="11"/>
      <color rgb="FFFFFFFF"/>
      <name val="Arial"/>
      <family val="2"/>
    </font>
    <font>
      <sz val="11"/>
      <name val="Arial"/>
      <family val="2"/>
    </font>
    <font>
      <b/>
      <sz val="1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FF"/>
        <bgColor indexed="64"/>
      </patternFill>
    </fill>
    <fill>
      <patternFill patternType="solid">
        <fgColor rgb="FF1F3864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2" borderId="0" xfId="0" applyFont="1" applyFill="1"/>
    <xf numFmtId="0" fontId="6" fillId="2" borderId="0" xfId="0" applyFont="1" applyFill="1" applyAlignment="1">
      <alignment horizontal="center"/>
    </xf>
    <xf numFmtId="0" fontId="0" fillId="0" borderId="0" xfId="0" applyAlignment="1">
      <alignment horizontal="right"/>
    </xf>
    <xf numFmtId="164" fontId="2" fillId="0" borderId="1" xfId="0" applyNumberFormat="1" applyFont="1" applyBorder="1"/>
    <xf numFmtId="165" fontId="2" fillId="0" borderId="1" xfId="0" applyNumberFormat="1" applyFont="1" applyBorder="1"/>
    <xf numFmtId="166" fontId="2" fillId="0" borderId="1" xfId="0" applyNumberFormat="1" applyFont="1" applyBorder="1"/>
    <xf numFmtId="167" fontId="7" fillId="0" borderId="1" xfId="0" applyNumberFormat="1" applyFont="1" applyBorder="1"/>
    <xf numFmtId="2" fontId="7" fillId="0" borderId="1" xfId="0" applyNumberFormat="1" applyFont="1" applyBorder="1"/>
    <xf numFmtId="3" fontId="7" fillId="0" borderId="1" xfId="0" applyNumberFormat="1" applyFont="1" applyBorder="1"/>
    <xf numFmtId="0" fontId="8" fillId="3" borderId="0" xfId="0" applyFont="1" applyFill="1"/>
    <xf numFmtId="0" fontId="9" fillId="3" borderId="0" xfId="0" applyFont="1" applyFill="1"/>
    <xf numFmtId="0" fontId="10" fillId="3" borderId="0" xfId="0" applyFont="1" applyFill="1"/>
    <xf numFmtId="0" fontId="11" fillId="3" borderId="0" xfId="0" applyFont="1" applyFill="1"/>
    <xf numFmtId="0" fontId="12" fillId="4" borderId="0" xfId="0" applyFont="1" applyFill="1"/>
    <xf numFmtId="0" fontId="13" fillId="3" borderId="0" xfId="0" applyFont="1" applyFill="1"/>
    <xf numFmtId="0" fontId="14" fillId="3" borderId="0" xfId="0" applyFont="1" applyFill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3"/>
  <sheetViews>
    <sheetView zoomScaleNormal="100" workbookViewId="0"/>
  </sheetViews>
  <sheetFormatPr defaultColWidth="8.7109375" defaultRowHeight="15" x14ac:dyDescent="0.25"/>
  <cols>
    <col min="1" max="1" width="38" customWidth="1"/>
    <col min="2" max="2" width="120" customWidth="1"/>
  </cols>
  <sheetData>
    <row r="1" spans="1:2" ht="18" x14ac:dyDescent="0.25">
      <c r="A1" s="1" t="s">
        <v>0</v>
      </c>
    </row>
    <row r="2" spans="1:2" x14ac:dyDescent="0.25">
      <c r="A2" s="2" t="s">
        <v>1</v>
      </c>
    </row>
    <row r="3" spans="1:2" x14ac:dyDescent="0.25">
      <c r="A3" s="2"/>
    </row>
    <row r="4" spans="1:2" x14ac:dyDescent="0.25">
      <c r="A4" s="3" t="s">
        <v>2</v>
      </c>
      <c r="B4" s="2" t="s">
        <v>3</v>
      </c>
    </row>
    <row r="5" spans="1:2" x14ac:dyDescent="0.25">
      <c r="A5" s="3" t="s">
        <v>4</v>
      </c>
      <c r="B5" s="2" t="s">
        <v>5</v>
      </c>
    </row>
    <row r="6" spans="1:2" x14ac:dyDescent="0.25">
      <c r="A6" s="3" t="s">
        <v>6</v>
      </c>
      <c r="B6" s="2" t="s">
        <v>7</v>
      </c>
    </row>
    <row r="7" spans="1:2" x14ac:dyDescent="0.25">
      <c r="A7" s="3" t="s">
        <v>8</v>
      </c>
      <c r="B7" s="2" t="s">
        <v>9</v>
      </c>
    </row>
    <row r="8" spans="1:2" x14ac:dyDescent="0.25">
      <c r="A8" s="3"/>
      <c r="B8" s="2"/>
    </row>
    <row r="9" spans="1:2" x14ac:dyDescent="0.25">
      <c r="A9" s="3" t="s">
        <v>10</v>
      </c>
      <c r="B9" s="2"/>
    </row>
    <row r="10" spans="1:2" x14ac:dyDescent="0.25">
      <c r="A10" s="3" t="s">
        <v>11</v>
      </c>
      <c r="B10" s="2" t="s">
        <v>12</v>
      </c>
    </row>
    <row r="11" spans="1:2" x14ac:dyDescent="0.25">
      <c r="A11" s="3" t="s">
        <v>13</v>
      </c>
      <c r="B11" s="2" t="s">
        <v>14</v>
      </c>
    </row>
    <row r="12" spans="1:2" x14ac:dyDescent="0.25">
      <c r="A12" s="3" t="s">
        <v>15</v>
      </c>
      <c r="B12" s="2" t="s">
        <v>16</v>
      </c>
    </row>
    <row r="13" spans="1:2" x14ac:dyDescent="0.25">
      <c r="A13" s="3" t="s">
        <v>17</v>
      </c>
      <c r="B13" s="2" t="s">
        <v>18</v>
      </c>
    </row>
    <row r="14" spans="1:2" x14ac:dyDescent="0.25">
      <c r="A14" s="3" t="s">
        <v>19</v>
      </c>
      <c r="B14" s="2" t="s">
        <v>20</v>
      </c>
    </row>
    <row r="15" spans="1:2" x14ac:dyDescent="0.25">
      <c r="A15" s="3"/>
      <c r="B15" s="2"/>
    </row>
    <row r="16" spans="1:2" x14ac:dyDescent="0.25">
      <c r="A16" s="3" t="s">
        <v>21</v>
      </c>
      <c r="B16" s="2"/>
    </row>
    <row r="17" spans="1:2" x14ac:dyDescent="0.25">
      <c r="A17" s="3" t="s">
        <v>22</v>
      </c>
      <c r="B17" s="2" t="s">
        <v>23</v>
      </c>
    </row>
    <row r="18" spans="1:2" x14ac:dyDescent="0.25">
      <c r="A18" s="3" t="s">
        <v>24</v>
      </c>
      <c r="B18" s="2" t="s">
        <v>25</v>
      </c>
    </row>
    <row r="19" spans="1:2" x14ac:dyDescent="0.25">
      <c r="A19" s="3" t="s">
        <v>26</v>
      </c>
      <c r="B19" s="2" t="s">
        <v>27</v>
      </c>
    </row>
    <row r="20" spans="1:2" x14ac:dyDescent="0.25">
      <c r="A20" s="3" t="s">
        <v>28</v>
      </c>
      <c r="B20" s="2" t="s">
        <v>29</v>
      </c>
    </row>
    <row r="21" spans="1:2" x14ac:dyDescent="0.25">
      <c r="A21" s="3" t="s">
        <v>30</v>
      </c>
      <c r="B21" s="2" t="s">
        <v>31</v>
      </c>
    </row>
    <row r="22" spans="1:2" x14ac:dyDescent="0.25">
      <c r="A22" s="3"/>
      <c r="B22" s="2"/>
    </row>
    <row r="23" spans="1:2" x14ac:dyDescent="0.25">
      <c r="A23" s="3" t="s">
        <v>32</v>
      </c>
      <c r="B23" s="2" t="s">
        <v>33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1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ColWidth="8.7109375" defaultRowHeight="15" x14ac:dyDescent="0.25"/>
  <cols>
    <col min="1" max="1" width="44" customWidth="1"/>
    <col min="2" max="13" width="10" customWidth="1"/>
  </cols>
  <sheetData>
    <row r="1" spans="1:13" ht="16.5" x14ac:dyDescent="0.25">
      <c r="A1" s="4" t="s">
        <v>34</v>
      </c>
    </row>
    <row r="2" spans="1:13" x14ac:dyDescent="0.25">
      <c r="A2" s="5" t="s">
        <v>35</v>
      </c>
    </row>
    <row r="4" spans="1:13" x14ac:dyDescent="0.25">
      <c r="A4" s="6" t="s">
        <v>36</v>
      </c>
      <c r="B4" s="7" t="s">
        <v>37</v>
      </c>
      <c r="C4" s="7" t="s">
        <v>38</v>
      </c>
      <c r="D4" s="7" t="s">
        <v>39</v>
      </c>
      <c r="E4" s="7" t="s">
        <v>40</v>
      </c>
      <c r="F4" s="7" t="s">
        <v>41</v>
      </c>
      <c r="G4" s="7" t="s">
        <v>42</v>
      </c>
      <c r="H4" s="7" t="s">
        <v>43</v>
      </c>
      <c r="I4" s="7" t="s">
        <v>44</v>
      </c>
      <c r="J4" s="7" t="s">
        <v>45</v>
      </c>
      <c r="K4" s="7" t="s">
        <v>46</v>
      </c>
      <c r="L4" s="7" t="s">
        <v>47</v>
      </c>
      <c r="M4" s="7" t="s">
        <v>48</v>
      </c>
    </row>
    <row r="5" spans="1:13" x14ac:dyDescent="0.25">
      <c r="A5" s="3" t="s">
        <v>49</v>
      </c>
    </row>
    <row r="6" spans="1:13" x14ac:dyDescent="0.25">
      <c r="A6" s="2" t="s">
        <v>50</v>
      </c>
      <c r="B6" s="8" t="s">
        <v>51</v>
      </c>
      <c r="C6" s="9">
        <f>IFERROR(Profit_Loss!C5/Profit_Loss!B5-1,"-")</f>
        <v>0.14789535964838141</v>
      </c>
      <c r="D6" s="9">
        <f>IFERROR(Profit_Loss!D5/Profit_Loss!C5-1,"-")</f>
        <v>8.578318575925481E-2</v>
      </c>
      <c r="E6" s="9">
        <f>IFERROR(Profit_Loss!E5/Profit_Loss!D5-1,"-")</f>
        <v>4.3554922604818413E-2</v>
      </c>
      <c r="F6" s="9">
        <f>IFERROR(Profit_Loss!F5/Profit_Loss!E5-1,"-")</f>
        <v>0.18975012997140639</v>
      </c>
      <c r="G6" s="9">
        <f>IFERROR(Profit_Loss!G5/Profit_Loss!F5-1,"-")</f>
        <v>7.1594873790650215E-2</v>
      </c>
      <c r="H6" s="9">
        <f>IFERROR(Profit_Loss!H5/Profit_Loss!G5-1,"-")</f>
        <v>4.6053176509566862E-2</v>
      </c>
      <c r="I6" s="9">
        <f>IFERROR(Profit_Loss!I5/Profit_Loss!H5-1,"-")</f>
        <v>0.1679711530847805</v>
      </c>
      <c r="J6" s="9">
        <f>IFERROR(Profit_Loss!J5/Profit_Loss!I5-1,"-")</f>
        <v>0.17576686796624852</v>
      </c>
      <c r="K6" s="9">
        <f>IFERROR(Profit_Loss!K5/Profit_Loss!J5-1,"-")</f>
        <v>6.8460644554639849E-2</v>
      </c>
      <c r="L6" s="9">
        <f>IFERROR(Profit_Loss!L5/Profit_Loss!K5-1,"-")</f>
        <v>5.9906265437351891E-2</v>
      </c>
      <c r="M6" s="9">
        <f>IFERROR(Profit_Loss!M5/Profit_Loss!L5-1,"-")</f>
        <v>4.581237956478823E-2</v>
      </c>
    </row>
    <row r="7" spans="1:13" x14ac:dyDescent="0.25">
      <c r="A7" s="2" t="s">
        <v>52</v>
      </c>
      <c r="B7" s="8" t="s">
        <v>51</v>
      </c>
      <c r="C7" s="9">
        <f>IFERROR(Profit_Loss!C13/Profit_Loss!B13-1,"-")</f>
        <v>0.21326021934197414</v>
      </c>
      <c r="D7" s="9">
        <f>IFERROR(Profit_Loss!D13/Profit_Loss!C13-1,"-")</f>
        <v>8.2956693236913459E-2</v>
      </c>
      <c r="E7" s="9">
        <f>IFERROR(Profit_Loss!E13/Profit_Loss!D13-1,"-")</f>
        <v>-1.8097659065902771E-2</v>
      </c>
      <c r="F7" s="9">
        <f>IFERROR(Profit_Loss!F13/Profit_Loss!E13-1,"-")</f>
        <v>0.21955177743431231</v>
      </c>
      <c r="G7" s="9">
        <f>IFERROR(Profit_Loss!G13/Profit_Loss!F13-1,"-")</f>
        <v>2.804004815917871E-2</v>
      </c>
      <c r="H7" s="9">
        <f>IFERROR(Profit_Loss!H13/Profit_Loss!G13-1,"-")</f>
        <v>3.5442413782476034E-3</v>
      </c>
      <c r="I7" s="9">
        <f>IFERROR(Profit_Loss!I13/Profit_Loss!H13-1,"-")</f>
        <v>0.18079356304895278</v>
      </c>
      <c r="J7" s="9">
        <f>IFERROR(Profit_Loss!J13/Profit_Loss!I13-1,"-")</f>
        <v>0.10023667715675311</v>
      </c>
      <c r="K7" s="9">
        <f>IFERROR(Profit_Loss!K13/Profit_Loss!J13-1,"-")</f>
        <v>8.9733588634375749E-2</v>
      </c>
      <c r="L7" s="9">
        <f>IFERROR(Profit_Loss!L13/Profit_Loss!K13-1,"-")</f>
        <v>5.8526215319204322E-2</v>
      </c>
      <c r="M7" s="9">
        <f>IFERROR(Profit_Loss!M13/Profit_Loss!L13-1,"-")</f>
        <v>1.3463942455478772E-2</v>
      </c>
    </row>
    <row r="8" spans="1:13" x14ac:dyDescent="0.25">
      <c r="A8" s="2" t="s">
        <v>53</v>
      </c>
      <c r="B8" s="8" t="s">
        <v>51</v>
      </c>
      <c r="C8" s="9">
        <f>IFERROR(Profit_Loss!C14/Profit_Loss!B14-1,"-")</f>
        <v>0.21507498026835048</v>
      </c>
      <c r="D8" s="9">
        <f>IFERROR(Profit_Loss!D14/Profit_Loss!C14-1,"-")</f>
        <v>8.3306268268918515E-2</v>
      </c>
      <c r="E8" s="9">
        <f>IFERROR(Profit_Loss!E14/Profit_Loss!D14-1,"-")</f>
        <v>1.1242692250037489E-2</v>
      </c>
      <c r="F8" s="9">
        <f>IFERROR(Profit_Loss!F14/Profit_Loss!E14-1,"-")</f>
        <v>0.24325526237770556</v>
      </c>
      <c r="G8" s="9">
        <f>IFERROR(Profit_Loss!G14/Profit_Loss!F14-1,"-")</f>
        <v>2.7661857636818832E-2</v>
      </c>
      <c r="H8" s="9">
        <f>IFERROR(Profit_Loss!H14/Profit_Loss!G14-1,"-")</f>
        <v>1.7171365587655307E-2</v>
      </c>
      <c r="I8" s="9">
        <f>IFERROR(Profit_Loss!I14/Profit_Loss!H14-1,"-")</f>
        <v>0.19482148967719848</v>
      </c>
      <c r="J8" s="9">
        <f>IFERROR(Profit_Loss!J14/Profit_Loss!I14-1,"-")</f>
        <v>9.966587112171843E-2</v>
      </c>
      <c r="K8" s="9">
        <f>IFERROR(Profit_Loss!K14/Profit_Loss!J14-1,"-")</f>
        <v>0.10148450386318264</v>
      </c>
      <c r="L8" s="9">
        <f>IFERROR(Profit_Loss!L14/Profit_Loss!K14-1,"-")</f>
        <v>5.7692307692307709E-2</v>
      </c>
      <c r="M8" s="9">
        <f>IFERROR(Profit_Loss!M14/Profit_Loss!L14-1,"-")</f>
        <v>1.3487332339791269E-2</v>
      </c>
    </row>
    <row r="9" spans="1:13" x14ac:dyDescent="0.25">
      <c r="A9" s="3" t="s">
        <v>54</v>
      </c>
    </row>
    <row r="10" spans="1:13" x14ac:dyDescent="0.25">
      <c r="A10" s="2" t="s">
        <v>55</v>
      </c>
      <c r="B10" s="9">
        <f>Profit_Loss!B7/Profit_Loss!B5</f>
        <v>0.25866368016228553</v>
      </c>
      <c r="C10" s="9">
        <f>Profit_Loss!C7/Profit_Loss!C5</f>
        <v>0.28235738085157303</v>
      </c>
      <c r="D10" s="9">
        <f>Profit_Loss!D7/Profit_Loss!D5</f>
        <v>0.27390095451231711</v>
      </c>
      <c r="E10" s="9">
        <f>Profit_Loss!E7/Profit_Loss!E5</f>
        <v>0.26413439043410447</v>
      </c>
      <c r="F10" s="9">
        <f>Profit_Loss!F7/Profit_Loss!F5</f>
        <v>0.26973365286795981</v>
      </c>
      <c r="G10" s="9">
        <f>Profit_Loss!G7/Profit_Loss!G5</f>
        <v>0.26829734499741953</v>
      </c>
      <c r="H10" s="9">
        <f>Profit_Loss!H7/Profit_Loss!H5</f>
        <v>0.28351108864213626</v>
      </c>
      <c r="I10" s="9">
        <f>Profit_Loss!I7/Profit_Loss!I5</f>
        <v>0.27669305464292793</v>
      </c>
      <c r="J10" s="9">
        <f>Profit_Loss!J7/Profit_Loss!J5</f>
        <v>0.26283831134845514</v>
      </c>
      <c r="K10" s="9">
        <f>Profit_Loss!K7/Profit_Loss!K5</f>
        <v>0.26690688396923118</v>
      </c>
      <c r="L10" s="9">
        <f>Profit_Loss!L7/Profit_Loss!L5</f>
        <v>0.26400573389105608</v>
      </c>
      <c r="M10" s="9">
        <f>Profit_Loss!M7/Profit_Loss!M5</f>
        <v>0.27113223304534101</v>
      </c>
    </row>
    <row r="11" spans="1:13" x14ac:dyDescent="0.25">
      <c r="A11" s="2" t="s">
        <v>56</v>
      </c>
      <c r="B11" s="9">
        <f>Profit_Loss!B13/Profit_Loss!B5</f>
        <v>0.21194320006761896</v>
      </c>
      <c r="C11" s="9">
        <f>Profit_Loss!C13/Profit_Loss!C5</f>
        <v>0.22401192864900688</v>
      </c>
      <c r="D11" s="9">
        <f>Profit_Loss!D13/Profit_Loss!D5</f>
        <v>0.22342878456504417</v>
      </c>
      <c r="E11" s="9">
        <f>Profit_Loss!E13/Profit_Loss!E5</f>
        <v>0.21022874967507149</v>
      </c>
      <c r="F11" s="9">
        <f>Profit_Loss!F13/Profit_Loss!F5</f>
        <v>0.21549469831971216</v>
      </c>
      <c r="G11" s="9">
        <f>Profit_Loss!G13/Profit_Loss!G5</f>
        <v>0.20673594607165385</v>
      </c>
      <c r="H11" s="9">
        <f>Profit_Loss!H13/Profit_Loss!H5</f>
        <v>0.19833472410873632</v>
      </c>
      <c r="I11" s="9">
        <f>Profit_Loss!I13/Profit_Loss!I5</f>
        <v>0.20051211448001086</v>
      </c>
      <c r="J11" s="9">
        <f>Profit_Loss!J13/Profit_Loss!J5</f>
        <v>0.18763139919630265</v>
      </c>
      <c r="K11" s="9">
        <f>Profit_Loss!K13/Profit_Loss!K5</f>
        <v>0.19136712150207769</v>
      </c>
      <c r="L11" s="9">
        <f>Profit_Loss!L13/Profit_Loss!L5</f>
        <v>0.19111795209224358</v>
      </c>
      <c r="M11" s="9">
        <f>Profit_Loss!M13/Profit_Loss!M5</f>
        <v>0.18520640698671639</v>
      </c>
    </row>
    <row r="12" spans="1:13" x14ac:dyDescent="0.25">
      <c r="A12" s="2" t="s">
        <v>57</v>
      </c>
      <c r="B12" s="9">
        <f>Profit_Loss!B13/(Balance_Sheet!B5+Balance_Sheet!B6)</f>
        <v>0.39616865804285573</v>
      </c>
      <c r="C12" s="9">
        <f>Profit_Loss!C13/(Balance_Sheet!C5+Balance_Sheet!C6)</f>
        <v>0.34244146780729401</v>
      </c>
      <c r="D12" s="9">
        <f>Profit_Loss!D13/(Balance_Sheet!D5+Balance_Sheet!D6)</f>
        <v>0.30571600900085832</v>
      </c>
      <c r="E12" s="9">
        <f>Profit_Loss!E13/(Balance_Sheet!E5+Balance_Sheet!E6)</f>
        <v>0.30401278075368854</v>
      </c>
      <c r="F12" s="9">
        <f>Profit_Loss!F13/(Balance_Sheet!F5+Balance_Sheet!F6)</f>
        <v>0.35286094403327145</v>
      </c>
      <c r="G12" s="9">
        <f>Profit_Loss!G13/(Balance_Sheet!G5+Balance_Sheet!G6)</f>
        <v>0.38569526662387371</v>
      </c>
      <c r="H12" s="9">
        <f>Profit_Loss!H13/(Balance_Sheet!H5+Balance_Sheet!H6)</f>
        <v>0.37673110964562145</v>
      </c>
      <c r="I12" s="9">
        <f>Profit_Loss!I13/(Balance_Sheet!I5+Balance_Sheet!I6)</f>
        <v>0.43133757390143485</v>
      </c>
      <c r="J12" s="9">
        <f>Profit_Loss!J13/(Balance_Sheet!J5+Balance_Sheet!J6)</f>
        <v>0.46782933734406795</v>
      </c>
      <c r="K12" s="9">
        <f>Profit_Loss!K13/(Balance_Sheet!K5+Balance_Sheet!K6)</f>
        <v>0.50944313673485175</v>
      </c>
      <c r="L12" s="9">
        <f>Profit_Loss!L13/(Balance_Sheet!L5+Balance_Sheet!L6)</f>
        <v>0.514975304993879</v>
      </c>
      <c r="M12" s="9">
        <f>Profit_Loss!M13/(Balance_Sheet!M5+Balance_Sheet!M6)</f>
        <v>0.46115255501678476</v>
      </c>
    </row>
    <row r="13" spans="1:13" x14ac:dyDescent="0.25">
      <c r="A13" s="2" t="s">
        <v>58</v>
      </c>
      <c r="B13" s="9">
        <f>Profit_Loss!B13/Balance_Sheet!B14</f>
        <v>0.27360266237486019</v>
      </c>
      <c r="C13" s="9">
        <f>Profit_Loss!C13/Balance_Sheet!C14</f>
        <v>0.27565663544415625</v>
      </c>
      <c r="D13" s="9">
        <f>Profit_Loss!D13/Balance_Sheet!D14</f>
        <v>0.25756109954755552</v>
      </c>
      <c r="E13" s="9">
        <f>Profit_Loss!E13/Balance_Sheet!E14</f>
        <v>0.24618077354793297</v>
      </c>
      <c r="F13" s="9">
        <f>Profit_Loss!F13/Balance_Sheet!F14</f>
        <v>0.27710028884733234</v>
      </c>
      <c r="G13" s="9">
        <f>Profit_Loss!G13/Balance_Sheet!G14</f>
        <v>0.27010580469003637</v>
      </c>
      <c r="H13" s="9">
        <f>Profit_Loss!H13/Balance_Sheet!H14</f>
        <v>0.25049233799003018</v>
      </c>
      <c r="I13" s="9">
        <f>Profit_Loss!I13/Balance_Sheet!I14</f>
        <v>0.27283500326417076</v>
      </c>
      <c r="J13" s="9">
        <f>Profit_Loss!J13/Balance_Sheet!J14</f>
        <v>0.29611715047704379</v>
      </c>
      <c r="K13" s="9">
        <f>Profit_Loss!K13/Balance_Sheet!K14</f>
        <v>0.31689259788825341</v>
      </c>
      <c r="L13" s="9">
        <f>Profit_Loss!L13/Balance_Sheet!L14</f>
        <v>0.30757836481793138</v>
      </c>
      <c r="M13" s="9">
        <f>Profit_Loss!M13/Balance_Sheet!M14</f>
        <v>0.27297465874027832</v>
      </c>
    </row>
    <row r="14" spans="1:13" x14ac:dyDescent="0.25">
      <c r="A14" s="3" t="s">
        <v>59</v>
      </c>
    </row>
    <row r="15" spans="1:13" x14ac:dyDescent="0.25">
      <c r="A15" s="2" t="s">
        <v>60</v>
      </c>
      <c r="B15" s="10">
        <f>Profit_Loss!B5/Balance_Sheet!B14</f>
        <v>1.2909244660247143</v>
      </c>
      <c r="C15" s="10">
        <f>Profit_Loss!C5/Balance_Sheet!C14</f>
        <v>1.23054444960415</v>
      </c>
      <c r="D15" s="10">
        <f>Profit_Loss!D5/Balance_Sheet!D14</f>
        <v>1.1527659699217261</v>
      </c>
      <c r="E15" s="10">
        <f>Profit_Loss!E5/Balance_Sheet!E14</f>
        <v>1.1710138310218214</v>
      </c>
      <c r="F15" s="10">
        <f>Profit_Loss!F5/Balance_Sheet!F14</f>
        <v>1.2858798430215714</v>
      </c>
      <c r="G15" s="10">
        <f>Profit_Loss!G5/Balance_Sheet!G14</f>
        <v>1.3065255937466183</v>
      </c>
      <c r="H15" s="10">
        <f>Profit_Loss!H5/Balance_Sheet!H14</f>
        <v>1.2629777217059512</v>
      </c>
      <c r="I15" s="10">
        <f>Profit_Loss!I5/Balance_Sheet!I14</f>
        <v>1.3606908688371038</v>
      </c>
      <c r="J15" s="10">
        <f>Profit_Loss!J5/Balance_Sheet!J14</f>
        <v>1.5781854835887132</v>
      </c>
      <c r="K15" s="10">
        <f>Profit_Loss!K5/Balance_Sheet!K14</f>
        <v>1.6559406621205455</v>
      </c>
      <c r="L15" s="10">
        <f>Profit_Loss!L5/Balance_Sheet!L14</f>
        <v>1.6093640678478907</v>
      </c>
      <c r="M15" s="10">
        <f>Profit_Loss!M5/Balance_Sheet!M14</f>
        <v>1.4738942522644853</v>
      </c>
    </row>
    <row r="16" spans="1:13" x14ac:dyDescent="0.25">
      <c r="A16" s="2" t="s">
        <v>61</v>
      </c>
      <c r="B16" s="10">
        <f>Balance_Sheet!B7/(Balance_Sheet!B5+Balance_Sheet!B6)</f>
        <v>7.0702083539054012E-3</v>
      </c>
      <c r="C16" s="10">
        <f>Balance_Sheet!C7/(Balance_Sheet!C5+Balance_Sheet!C6)</f>
        <v>3.4472084646555608E-3</v>
      </c>
      <c r="D16" s="10">
        <f>Balance_Sheet!D7/(Balance_Sheet!D5+Balance_Sheet!D6)</f>
        <v>3.3521237850001159E-3</v>
      </c>
      <c r="E16" s="10">
        <f>Balance_Sheet!E7/(Balance_Sheet!E5+Balance_Sheet!E6)</f>
        <v>2.9015130156940139E-3</v>
      </c>
      <c r="F16" s="10">
        <f>Balance_Sheet!F7/(Balance_Sheet!F5+Balance_Sheet!F6)</f>
        <v>6.9315564698253698E-4</v>
      </c>
      <c r="G16" s="10">
        <f>Balance_Sheet!G7/(Balance_Sheet!G5+Balance_Sheet!G6)</f>
        <v>9.716377814231035E-2</v>
      </c>
      <c r="H16" s="10">
        <f>Balance_Sheet!H7/(Balance_Sheet!H5+Balance_Sheet!H6)</f>
        <v>9.0185461571390554E-2</v>
      </c>
      <c r="I16" s="10">
        <f>Balance_Sheet!I7/(Balance_Sheet!I5+Balance_Sheet!I6)</f>
        <v>8.7705718035876554E-2</v>
      </c>
      <c r="J16" s="10">
        <f>Balance_Sheet!J7/(Balance_Sheet!J5+Balance_Sheet!J6)</f>
        <v>8.5021675661328858E-2</v>
      </c>
      <c r="K16" s="10">
        <f>Balance_Sheet!K7/(Balance_Sheet!K5+Balance_Sheet!K6)</f>
        <v>8.8640608250726602E-2</v>
      </c>
      <c r="L16" s="10">
        <f>Balance_Sheet!L7/(Balance_Sheet!L5+Balance_Sheet!L6)</f>
        <v>9.9117733969352861E-2</v>
      </c>
      <c r="M16" s="10">
        <f>Balance_Sheet!M7/(Balance_Sheet!M5+Balance_Sheet!M6)</f>
        <v>0.10521260723610593</v>
      </c>
    </row>
    <row r="17" spans="1:13" x14ac:dyDescent="0.25">
      <c r="A17" s="2" t="s">
        <v>62</v>
      </c>
      <c r="B17" s="11">
        <f>IFERROR((Profit_Loss!B11+Profit_Loss!B9)/Profit_Loss!B9,"-")</f>
        <v>253.86538461538461</v>
      </c>
      <c r="C17" s="11">
        <f>IFERROR((Profit_Loss!C11+Profit_Loss!C9)/Profit_Loss!C9,"-")</f>
        <v>965.84848484848487</v>
      </c>
      <c r="D17" s="11">
        <f>IFERROR((Profit_Loss!D11+Profit_Loss!D9)/Profit_Loss!D9,"-")</f>
        <v>1079.53125</v>
      </c>
      <c r="E17" s="11">
        <f>IFERROR((Profit_Loss!E11+Profit_Loss!E9)/Profit_Loss!E9,"-")</f>
        <v>656.61538461538464</v>
      </c>
      <c r="F17" s="11">
        <f>IFERROR((Profit_Loss!F11+Profit_Loss!F9)/Profit_Loss!F9,"-")</f>
        <v>210.91414141414143</v>
      </c>
      <c r="G17" s="11">
        <f>IFERROR((Profit_Loss!G11+Profit_Loss!G9)/Profit_Loss!G9,"-")</f>
        <v>46.722943722943725</v>
      </c>
      <c r="H17" s="11">
        <f>IFERROR((Profit_Loss!H11+Profit_Loss!H9)/Profit_Loss!H9,"-")</f>
        <v>69.697017268445833</v>
      </c>
      <c r="I17" s="11">
        <f>IFERROR((Profit_Loss!I11+Profit_Loss!I9)/Profit_Loss!I9,"-")</f>
        <v>66.927295918367349</v>
      </c>
      <c r="J17" s="11">
        <f>IFERROR((Profit_Loss!J11+Profit_Loss!J9)/Profit_Loss!J9,"-")</f>
        <v>74.051347881899872</v>
      </c>
      <c r="K17" s="11">
        <f>IFERROR((Profit_Loss!K11+Profit_Loss!K9)/Profit_Loss!K9,"-")</f>
        <v>80.68766066838046</v>
      </c>
      <c r="L17" s="11">
        <f>IFERROR((Profit_Loss!L11+Profit_Loss!L9)/Profit_Loss!L9,"-")</f>
        <v>83.074120603015075</v>
      </c>
      <c r="M17" s="11">
        <f>IFERROR((Profit_Loss!M11+Profit_Loss!M9)/Profit_Loss!M9,"-")</f>
        <v>54.371638141809292</v>
      </c>
    </row>
    <row r="18" spans="1:13" x14ac:dyDescent="0.25">
      <c r="A18" s="3" t="s">
        <v>63</v>
      </c>
    </row>
    <row r="19" spans="1:13" x14ac:dyDescent="0.25">
      <c r="A19" s="2" t="s">
        <v>64</v>
      </c>
      <c r="B19" s="10">
        <f>Cash_Flow!B5/Profit_Loss!B13</f>
        <v>0.96555333998005977</v>
      </c>
      <c r="C19" s="10">
        <f>Cash_Flow!C5/Profit_Loss!C13</f>
        <v>0.78515079299860302</v>
      </c>
      <c r="D19" s="10">
        <f>Cash_Flow!D5/Profit_Loss!D13</f>
        <v>0.95697537656030651</v>
      </c>
      <c r="E19" s="10">
        <f>Cash_Flow!E5/Profit_Loss!E13</f>
        <v>0.96858578052550237</v>
      </c>
      <c r="F19" s="10">
        <f>Cash_Flow!F5/Profit_Loss!F13</f>
        <v>0.9059311830682466</v>
      </c>
      <c r="G19" s="10">
        <f>Cash_Flow!G5/Profit_Loss!G13</f>
        <v>0.99759607976084075</v>
      </c>
      <c r="H19" s="10">
        <f>Cash_Flow!H5/Profit_Loss!H13</f>
        <v>1.1916344204901419</v>
      </c>
      <c r="I19" s="10">
        <f>Cash_Flow!I5/Profit_Loss!I13</f>
        <v>1.0390127181461157</v>
      </c>
      <c r="J19" s="10">
        <f>Cash_Flow!J5/Profit_Loss!J13</f>
        <v>0.99201002292981588</v>
      </c>
      <c r="K19" s="10">
        <f>Cash_Flow!K5/Profit_Loss!K13</f>
        <v>0.96179960519750973</v>
      </c>
      <c r="L19" s="10">
        <f>Cash_Flow!L5/Profit_Loss!L13</f>
        <v>1.0022747300038937</v>
      </c>
      <c r="M19" s="10">
        <f>Cash_Flow!M5/Profit_Loss!M13</f>
        <v>1.053382941723622</v>
      </c>
    </row>
    <row r="20" spans="1:13" x14ac:dyDescent="0.25">
      <c r="A20" s="2" t="s">
        <v>65</v>
      </c>
      <c r="B20" s="9">
        <f>Cash_Flow!B9/Profit_Loss!B5</f>
        <v>0.17354830529963655</v>
      </c>
      <c r="C20" s="9">
        <f>Cash_Flow!C9/Profit_Loss!C5</f>
        <v>0.15779688161552197</v>
      </c>
      <c r="D20" s="9">
        <f>Cash_Flow!D9/Profit_Loss!D5</f>
        <v>0.19726022752318464</v>
      </c>
      <c r="E20" s="9">
        <f>Cash_Flow!E9/Profit_Loss!E5</f>
        <v>0.18897030153366259</v>
      </c>
      <c r="F20" s="9">
        <f>Cash_Flow!F9/Profit_Loss!F5</f>
        <v>0.18066678956459994</v>
      </c>
      <c r="G20" s="9">
        <f>Cash_Flow!G9/Profit_Loss!G5</f>
        <v>0.18656378823694322</v>
      </c>
      <c r="H20" s="9">
        <f>Cash_Flow!H9/Profit_Loss!H5</f>
        <v>0.21722287531140172</v>
      </c>
      <c r="I20" s="9">
        <f>Cash_Flow!I9/Profit_Loss!I5</f>
        <v>0.19287733241549068</v>
      </c>
      <c r="J20" s="9">
        <f>Cash_Flow!J9/Profit_Loss!J5</f>
        <v>0.17254654968996444</v>
      </c>
      <c r="K20" s="9">
        <f>Cash_Flow!K9/Profit_Loss!K5</f>
        <v>0.17305608714242424</v>
      </c>
      <c r="L20" s="9">
        <f>Cash_Flow!L9/Profit_Loss!L5</f>
        <v>0.17622315176011655</v>
      </c>
      <c r="M20" s="9">
        <f>Cash_Flow!M9/Profit_Loss!M5</f>
        <v>0.17980982769145498</v>
      </c>
    </row>
    <row r="21" spans="1:13" x14ac:dyDescent="0.25">
      <c r="A21" s="2" t="s">
        <v>66</v>
      </c>
      <c r="B21" s="9">
        <f>(Profit_Loss!B13/Profit_Loss!B5)*(Profit_Loss!B5/Balance_Sheet!B14)*(Balance_Sheet!B14/(Balance_Sheet!B5+Balance_Sheet!B6))</f>
        <v>0.39616865804285573</v>
      </c>
      <c r="C21" s="9">
        <f>(Profit_Loss!C13/Profit_Loss!C5)*(Profit_Loss!C5/Balance_Sheet!C14)*(Balance_Sheet!C14/(Balance_Sheet!C5+Balance_Sheet!C6))</f>
        <v>0.34244146780729406</v>
      </c>
      <c r="D21" s="9">
        <f>(Profit_Loss!D13/Profit_Loss!D5)*(Profit_Loss!D5/Balance_Sheet!D14)*(Balance_Sheet!D14/(Balance_Sheet!D5+Balance_Sheet!D6))</f>
        <v>0.30571600900085832</v>
      </c>
      <c r="E21" s="9">
        <f>(Profit_Loss!E13/Profit_Loss!E5)*(Profit_Loss!E5/Balance_Sheet!E14)*(Balance_Sheet!E14/(Balance_Sheet!E5+Balance_Sheet!E6))</f>
        <v>0.30401278075368859</v>
      </c>
      <c r="F21" s="9">
        <f>(Profit_Loss!F13/Profit_Loss!F5)*(Profit_Loss!F5/Balance_Sheet!F14)*(Balance_Sheet!F14/(Balance_Sheet!F5+Balance_Sheet!F6))</f>
        <v>0.35286094403327151</v>
      </c>
      <c r="G21" s="9">
        <f>(Profit_Loss!G13/Profit_Loss!G5)*(Profit_Loss!G5/Balance_Sheet!G14)*(Balance_Sheet!G14/(Balance_Sheet!G5+Balance_Sheet!G6))</f>
        <v>0.38569526662387382</v>
      </c>
      <c r="H21" s="9">
        <f>(Profit_Loss!H13/Profit_Loss!H5)*(Profit_Loss!H5/Balance_Sheet!H14)*(Balance_Sheet!H14/(Balance_Sheet!H5+Balance_Sheet!H6))</f>
        <v>0.37673110964562145</v>
      </c>
      <c r="I21" s="9">
        <f>(Profit_Loss!I13/Profit_Loss!I5)*(Profit_Loss!I5/Balance_Sheet!I14)*(Balance_Sheet!I14/(Balance_Sheet!I5+Balance_Sheet!I6))</f>
        <v>0.43133757390143485</v>
      </c>
      <c r="J21" s="9">
        <f>(Profit_Loss!J13/Profit_Loss!J5)*(Profit_Loss!J5/Balance_Sheet!J14)*(Balance_Sheet!J14/(Balance_Sheet!J5+Balance_Sheet!J6))</f>
        <v>0.46782933734406795</v>
      </c>
      <c r="K21" s="9">
        <f>(Profit_Loss!K13/Profit_Loss!K5)*(Profit_Loss!K5/Balance_Sheet!K14)*(Balance_Sheet!K14/(Balance_Sheet!K5+Balance_Sheet!K6))</f>
        <v>0.50944313673485175</v>
      </c>
      <c r="L21" s="9">
        <f>(Profit_Loss!L13/Profit_Loss!L5)*(Profit_Loss!L5/Balance_Sheet!L14)*(Balance_Sheet!L14/(Balance_Sheet!L5+Balance_Sheet!L6))</f>
        <v>0.51497530499387911</v>
      </c>
      <c r="M21" s="9">
        <f>(Profit_Loss!M13/Profit_Loss!M5)*(Profit_Loss!M5/Balance_Sheet!M14)*(Balance_Sheet!M14/(Balance_Sheet!M5+Balance_Sheet!M6))</f>
        <v>0.46115255501678482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5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A7" sqref="A7"/>
    </sheetView>
  </sheetViews>
  <sheetFormatPr defaultColWidth="8.7109375" defaultRowHeight="15" x14ac:dyDescent="0.25"/>
  <cols>
    <col min="1" max="1" width="32" customWidth="1"/>
    <col min="2" max="13" width="11" customWidth="1"/>
  </cols>
  <sheetData>
    <row r="1" spans="1:13" ht="16.5" x14ac:dyDescent="0.25">
      <c r="A1" s="4" t="s">
        <v>67</v>
      </c>
    </row>
    <row r="2" spans="1:13" x14ac:dyDescent="0.25">
      <c r="A2" s="5" t="s">
        <v>7</v>
      </c>
    </row>
    <row r="4" spans="1:13" x14ac:dyDescent="0.25">
      <c r="A4" s="6" t="s">
        <v>68</v>
      </c>
      <c r="B4" s="7" t="s">
        <v>37</v>
      </c>
      <c r="C4" s="7" t="s">
        <v>38</v>
      </c>
      <c r="D4" s="7" t="s">
        <v>39</v>
      </c>
      <c r="E4" s="7" t="s">
        <v>40</v>
      </c>
      <c r="F4" s="7" t="s">
        <v>41</v>
      </c>
      <c r="G4" s="7" t="s">
        <v>42</v>
      </c>
      <c r="H4" s="7" t="s">
        <v>43</v>
      </c>
      <c r="I4" s="7" t="s">
        <v>44</v>
      </c>
      <c r="J4" s="7" t="s">
        <v>45</v>
      </c>
      <c r="K4" s="7" t="s">
        <v>46</v>
      </c>
      <c r="L4" s="7" t="s">
        <v>47</v>
      </c>
      <c r="M4" s="7" t="s">
        <v>48</v>
      </c>
    </row>
    <row r="5" spans="1:13" x14ac:dyDescent="0.25">
      <c r="A5" s="2" t="s">
        <v>69</v>
      </c>
      <c r="B5" s="12">
        <v>94648</v>
      </c>
      <c r="C5" s="12">
        <v>108646</v>
      </c>
      <c r="D5" s="12">
        <v>117966</v>
      </c>
      <c r="E5" s="12">
        <v>123104</v>
      </c>
      <c r="F5" s="12">
        <v>146463</v>
      </c>
      <c r="G5" s="12">
        <v>156949</v>
      </c>
      <c r="H5" s="12">
        <v>164177</v>
      </c>
      <c r="I5" s="12">
        <v>191754</v>
      </c>
      <c r="J5" s="12">
        <v>225458</v>
      </c>
      <c r="K5" s="12">
        <v>240893</v>
      </c>
      <c r="L5" s="12">
        <v>255324</v>
      </c>
      <c r="M5" s="12">
        <v>267021</v>
      </c>
    </row>
    <row r="6" spans="1:13" x14ac:dyDescent="0.25">
      <c r="A6" s="2" t="s">
        <v>70</v>
      </c>
      <c r="B6" s="12">
        <v>70167</v>
      </c>
      <c r="C6" s="12">
        <v>77969</v>
      </c>
      <c r="D6" s="12">
        <v>85655</v>
      </c>
      <c r="E6" s="12">
        <v>90588</v>
      </c>
      <c r="F6" s="12">
        <v>106957</v>
      </c>
      <c r="G6" s="12">
        <v>114840</v>
      </c>
      <c r="H6" s="12">
        <v>117631</v>
      </c>
      <c r="I6" s="12">
        <v>138697</v>
      </c>
      <c r="J6" s="12">
        <v>166199</v>
      </c>
      <c r="K6" s="12">
        <v>176597</v>
      </c>
      <c r="L6" s="12">
        <v>187917</v>
      </c>
      <c r="M6" s="12">
        <v>194623</v>
      </c>
    </row>
    <row r="7" spans="1:13" x14ac:dyDescent="0.25">
      <c r="A7" s="3" t="s">
        <v>71</v>
      </c>
      <c r="B7" s="12">
        <v>24482</v>
      </c>
      <c r="C7" s="12">
        <v>30677</v>
      </c>
      <c r="D7" s="12">
        <v>32311</v>
      </c>
      <c r="E7" s="12">
        <v>32516</v>
      </c>
      <c r="F7" s="12">
        <v>39506</v>
      </c>
      <c r="G7" s="12">
        <v>42109</v>
      </c>
      <c r="H7" s="12">
        <v>46546</v>
      </c>
      <c r="I7" s="12">
        <v>53057</v>
      </c>
      <c r="J7" s="12">
        <v>59259</v>
      </c>
      <c r="K7" s="12">
        <v>64296</v>
      </c>
      <c r="L7" s="12">
        <v>67407</v>
      </c>
      <c r="M7" s="12">
        <v>72398</v>
      </c>
    </row>
    <row r="8" spans="1:13" x14ac:dyDescent="0.25">
      <c r="A8" s="2" t="s">
        <v>72</v>
      </c>
      <c r="B8" s="12">
        <v>3720</v>
      </c>
      <c r="C8" s="12">
        <v>3084</v>
      </c>
      <c r="D8" s="12">
        <v>4221</v>
      </c>
      <c r="E8" s="12">
        <v>3642</v>
      </c>
      <c r="F8" s="12">
        <v>4311</v>
      </c>
      <c r="G8" s="12">
        <v>4592</v>
      </c>
      <c r="H8" s="12">
        <v>1916</v>
      </c>
      <c r="I8" s="12">
        <v>4018</v>
      </c>
      <c r="J8" s="12">
        <v>3449</v>
      </c>
      <c r="K8" s="12">
        <v>3464</v>
      </c>
      <c r="L8" s="12">
        <v>3962</v>
      </c>
      <c r="M8" s="12">
        <v>-124</v>
      </c>
    </row>
    <row r="9" spans="1:13" x14ac:dyDescent="0.25">
      <c r="A9" s="2" t="s">
        <v>73</v>
      </c>
      <c r="B9" s="12">
        <v>104</v>
      </c>
      <c r="C9" s="12">
        <v>33</v>
      </c>
      <c r="D9" s="12">
        <v>32</v>
      </c>
      <c r="E9" s="12">
        <v>52</v>
      </c>
      <c r="F9" s="12">
        <v>198</v>
      </c>
      <c r="G9" s="12">
        <v>924</v>
      </c>
      <c r="H9" s="12">
        <v>637</v>
      </c>
      <c r="I9" s="12">
        <v>784</v>
      </c>
      <c r="J9" s="12">
        <v>779</v>
      </c>
      <c r="K9" s="12">
        <v>778</v>
      </c>
      <c r="L9" s="12">
        <v>796</v>
      </c>
      <c r="M9" s="12">
        <v>1227</v>
      </c>
    </row>
    <row r="10" spans="1:13" x14ac:dyDescent="0.25">
      <c r="A10" s="2" t="s">
        <v>74</v>
      </c>
      <c r="B10" s="12">
        <v>1799</v>
      </c>
      <c r="C10" s="12">
        <v>1888</v>
      </c>
      <c r="D10" s="12">
        <v>1987</v>
      </c>
      <c r="E10" s="12">
        <v>2014</v>
      </c>
      <c r="F10" s="12">
        <v>2056</v>
      </c>
      <c r="G10" s="12">
        <v>3529</v>
      </c>
      <c r="H10" s="12">
        <v>4065</v>
      </c>
      <c r="I10" s="12">
        <v>4604</v>
      </c>
      <c r="J10" s="12">
        <v>5022</v>
      </c>
      <c r="K10" s="12">
        <v>4985</v>
      </c>
      <c r="L10" s="12">
        <v>5242</v>
      </c>
      <c r="M10" s="12">
        <v>5560</v>
      </c>
    </row>
    <row r="11" spans="1:13" x14ac:dyDescent="0.25">
      <c r="A11" s="2" t="s">
        <v>75</v>
      </c>
      <c r="B11" s="12">
        <v>26298</v>
      </c>
      <c r="C11" s="12">
        <v>31840</v>
      </c>
      <c r="D11" s="12">
        <v>34513</v>
      </c>
      <c r="E11" s="12">
        <v>34092</v>
      </c>
      <c r="F11" s="12">
        <v>41563</v>
      </c>
      <c r="G11" s="12">
        <v>42248</v>
      </c>
      <c r="H11" s="12">
        <v>43760</v>
      </c>
      <c r="I11" s="12">
        <v>51687</v>
      </c>
      <c r="J11" s="12">
        <v>56907</v>
      </c>
      <c r="K11" s="12">
        <v>61997</v>
      </c>
      <c r="L11" s="12">
        <v>65331</v>
      </c>
      <c r="M11" s="12">
        <v>65487</v>
      </c>
    </row>
    <row r="12" spans="1:13" x14ac:dyDescent="0.25">
      <c r="A12" s="2" t="s">
        <v>76</v>
      </c>
      <c r="B12" s="12">
        <v>24</v>
      </c>
      <c r="C12" s="12">
        <v>24</v>
      </c>
      <c r="D12" s="12">
        <v>24</v>
      </c>
      <c r="E12" s="12">
        <v>24</v>
      </c>
      <c r="F12" s="12">
        <v>24</v>
      </c>
      <c r="G12" s="12">
        <v>23</v>
      </c>
      <c r="H12" s="12">
        <v>26</v>
      </c>
      <c r="I12" s="12">
        <v>26</v>
      </c>
      <c r="J12" s="12">
        <v>26</v>
      </c>
      <c r="K12" s="12">
        <v>26</v>
      </c>
      <c r="L12" s="12">
        <v>25</v>
      </c>
      <c r="M12" s="12">
        <v>24</v>
      </c>
    </row>
    <row r="13" spans="1:13" x14ac:dyDescent="0.25">
      <c r="A13" s="3" t="s">
        <v>77</v>
      </c>
      <c r="B13" s="12">
        <v>20060</v>
      </c>
      <c r="C13" s="12">
        <v>24338</v>
      </c>
      <c r="D13" s="12">
        <v>26357</v>
      </c>
      <c r="E13" s="12">
        <v>25880</v>
      </c>
      <c r="F13" s="12">
        <v>31562</v>
      </c>
      <c r="G13" s="12">
        <v>32447</v>
      </c>
      <c r="H13" s="12">
        <v>32562</v>
      </c>
      <c r="I13" s="12">
        <v>38449</v>
      </c>
      <c r="J13" s="12">
        <v>42303</v>
      </c>
      <c r="K13" s="12">
        <v>46099</v>
      </c>
      <c r="L13" s="12">
        <v>48797</v>
      </c>
      <c r="M13" s="12">
        <v>49454</v>
      </c>
    </row>
    <row r="14" spans="1:13" x14ac:dyDescent="0.25">
      <c r="A14" s="2" t="s">
        <v>78</v>
      </c>
      <c r="B14" s="13">
        <v>50.68</v>
      </c>
      <c r="C14" s="13">
        <v>61.58</v>
      </c>
      <c r="D14" s="13">
        <v>66.709999999999994</v>
      </c>
      <c r="E14" s="13">
        <v>67.459999999999994</v>
      </c>
      <c r="F14" s="13">
        <v>83.87</v>
      </c>
      <c r="G14" s="13">
        <v>86.19</v>
      </c>
      <c r="H14" s="13">
        <v>87.67</v>
      </c>
      <c r="I14" s="13">
        <v>104.75</v>
      </c>
      <c r="J14" s="13">
        <v>115.19</v>
      </c>
      <c r="K14" s="13">
        <v>126.88</v>
      </c>
      <c r="L14" s="13">
        <v>134.19999999999999</v>
      </c>
      <c r="M14" s="13">
        <v>136.01</v>
      </c>
    </row>
    <row r="15" spans="1:13" x14ac:dyDescent="0.25">
      <c r="A15" s="2" t="s">
        <v>79</v>
      </c>
      <c r="B15" s="12">
        <v>78</v>
      </c>
      <c r="C15" s="12">
        <v>35</v>
      </c>
      <c r="D15" s="12">
        <v>35</v>
      </c>
      <c r="E15" s="12">
        <v>37</v>
      </c>
      <c r="F15" s="12">
        <v>36</v>
      </c>
      <c r="G15" s="12">
        <v>85</v>
      </c>
      <c r="H15" s="12">
        <v>43</v>
      </c>
      <c r="I15" s="12">
        <v>41</v>
      </c>
      <c r="J15" s="12">
        <v>100</v>
      </c>
      <c r="K15" s="12">
        <v>58</v>
      </c>
      <c r="L15" s="12">
        <v>94</v>
      </c>
      <c r="M15" s="12">
        <v>81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4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ColWidth="8.7109375" defaultRowHeight="15" x14ac:dyDescent="0.25"/>
  <cols>
    <col min="1" max="1" width="32" customWidth="1"/>
    <col min="2" max="13" width="11" customWidth="1"/>
  </cols>
  <sheetData>
    <row r="1" spans="1:13" ht="16.5" x14ac:dyDescent="0.25">
      <c r="A1" s="4" t="s">
        <v>80</v>
      </c>
    </row>
    <row r="2" spans="1:13" x14ac:dyDescent="0.25">
      <c r="A2" s="5" t="s">
        <v>7</v>
      </c>
    </row>
    <row r="4" spans="1:13" x14ac:dyDescent="0.25">
      <c r="A4" s="6" t="s">
        <v>68</v>
      </c>
      <c r="B4" s="7" t="s">
        <v>37</v>
      </c>
      <c r="C4" s="7" t="s">
        <v>38</v>
      </c>
      <c r="D4" s="7" t="s">
        <v>39</v>
      </c>
      <c r="E4" s="7" t="s">
        <v>40</v>
      </c>
      <c r="F4" s="7" t="s">
        <v>41</v>
      </c>
      <c r="G4" s="7" t="s">
        <v>42</v>
      </c>
      <c r="H4" s="7" t="s">
        <v>43</v>
      </c>
      <c r="I4" s="7" t="s">
        <v>44</v>
      </c>
      <c r="J4" s="7" t="s">
        <v>45</v>
      </c>
      <c r="K4" s="7" t="s">
        <v>46</v>
      </c>
      <c r="L4" s="7" t="s">
        <v>47</v>
      </c>
      <c r="M4" s="7" t="s">
        <v>48</v>
      </c>
    </row>
    <row r="5" spans="1:13" x14ac:dyDescent="0.25">
      <c r="A5" s="2" t="s">
        <v>81</v>
      </c>
      <c r="B5" s="12">
        <v>196</v>
      </c>
      <c r="C5" s="12">
        <v>197</v>
      </c>
      <c r="D5" s="12">
        <v>197</v>
      </c>
      <c r="E5" s="12">
        <v>191</v>
      </c>
      <c r="F5" s="12">
        <v>375</v>
      </c>
      <c r="G5" s="12">
        <v>375</v>
      </c>
      <c r="H5" s="12">
        <v>370</v>
      </c>
      <c r="I5" s="12">
        <v>366</v>
      </c>
      <c r="J5" s="12">
        <v>366</v>
      </c>
      <c r="K5" s="12">
        <v>362</v>
      </c>
      <c r="L5" s="12">
        <v>362</v>
      </c>
      <c r="M5" s="12">
        <v>362</v>
      </c>
    </row>
    <row r="6" spans="1:13" x14ac:dyDescent="0.25">
      <c r="A6" s="2" t="s">
        <v>82</v>
      </c>
      <c r="B6" s="12">
        <v>50439</v>
      </c>
      <c r="C6" s="12">
        <v>70875</v>
      </c>
      <c r="D6" s="12">
        <v>86017</v>
      </c>
      <c r="E6" s="12">
        <v>84937</v>
      </c>
      <c r="F6" s="12">
        <v>89071</v>
      </c>
      <c r="G6" s="12">
        <v>83751</v>
      </c>
      <c r="H6" s="12">
        <v>86063</v>
      </c>
      <c r="I6" s="12">
        <v>88773</v>
      </c>
      <c r="J6" s="12">
        <v>90058</v>
      </c>
      <c r="K6" s="12">
        <v>90127</v>
      </c>
      <c r="L6" s="12">
        <v>94394</v>
      </c>
      <c r="M6" s="12">
        <v>106878</v>
      </c>
    </row>
    <row r="7" spans="1:13" x14ac:dyDescent="0.25">
      <c r="A7" s="2" t="s">
        <v>83</v>
      </c>
      <c r="B7" s="12">
        <v>358</v>
      </c>
      <c r="C7" s="12">
        <v>245</v>
      </c>
      <c r="D7" s="12">
        <v>289</v>
      </c>
      <c r="E7" s="12">
        <v>247</v>
      </c>
      <c r="F7" s="12">
        <v>62</v>
      </c>
      <c r="G7" s="12">
        <v>8174</v>
      </c>
      <c r="H7" s="12">
        <v>7795</v>
      </c>
      <c r="I7" s="12">
        <v>7818</v>
      </c>
      <c r="J7" s="12">
        <v>7688</v>
      </c>
      <c r="K7" s="12">
        <v>8021</v>
      </c>
      <c r="L7" s="12">
        <v>9392</v>
      </c>
      <c r="M7" s="12">
        <v>11283</v>
      </c>
    </row>
    <row r="8" spans="1:13" x14ac:dyDescent="0.25">
      <c r="A8" s="2" t="s">
        <v>84</v>
      </c>
      <c r="B8" s="12">
        <v>22325</v>
      </c>
      <c r="C8" s="12">
        <v>16974</v>
      </c>
      <c r="D8" s="12">
        <v>15830</v>
      </c>
      <c r="E8" s="12">
        <v>19751</v>
      </c>
      <c r="F8" s="12">
        <v>24393</v>
      </c>
      <c r="G8" s="12">
        <v>27827</v>
      </c>
      <c r="H8" s="12">
        <v>35764</v>
      </c>
      <c r="I8" s="12">
        <v>43967</v>
      </c>
      <c r="J8" s="12">
        <v>44747</v>
      </c>
      <c r="K8" s="12">
        <v>46962</v>
      </c>
      <c r="L8" s="12">
        <v>54501</v>
      </c>
      <c r="M8" s="12">
        <v>62644</v>
      </c>
    </row>
    <row r="9" spans="1:13" x14ac:dyDescent="0.25">
      <c r="A9" s="3" t="s">
        <v>85</v>
      </c>
      <c r="B9" s="12">
        <v>73318</v>
      </c>
      <c r="C9" s="12">
        <v>88291</v>
      </c>
      <c r="D9" s="12">
        <v>102333</v>
      </c>
      <c r="E9" s="12">
        <v>105126</v>
      </c>
      <c r="F9" s="12">
        <v>113901</v>
      </c>
      <c r="G9" s="12">
        <v>120127</v>
      </c>
      <c r="H9" s="12">
        <v>129992</v>
      </c>
      <c r="I9" s="12">
        <v>140924</v>
      </c>
      <c r="J9" s="12">
        <v>142859</v>
      </c>
      <c r="K9" s="12">
        <v>145472</v>
      </c>
      <c r="L9" s="12">
        <v>158649</v>
      </c>
      <c r="M9" s="12">
        <v>181167</v>
      </c>
    </row>
    <row r="10" spans="1:13" x14ac:dyDescent="0.25">
      <c r="A10" s="2" t="s">
        <v>86</v>
      </c>
      <c r="B10" s="12">
        <v>11638</v>
      </c>
      <c r="C10" s="12">
        <v>11774</v>
      </c>
      <c r="D10" s="12">
        <v>11701</v>
      </c>
      <c r="E10" s="12">
        <v>11973</v>
      </c>
      <c r="F10" s="12">
        <v>12290</v>
      </c>
      <c r="G10" s="12">
        <v>20928</v>
      </c>
      <c r="H10" s="12">
        <v>21021</v>
      </c>
      <c r="I10" s="12">
        <v>21298</v>
      </c>
      <c r="J10" s="12">
        <v>20515</v>
      </c>
      <c r="K10" s="12">
        <v>19604</v>
      </c>
      <c r="L10" s="12">
        <v>23053</v>
      </c>
      <c r="M10" s="12">
        <v>31343</v>
      </c>
    </row>
    <row r="11" spans="1:13" x14ac:dyDescent="0.25">
      <c r="A11" s="2" t="s">
        <v>87</v>
      </c>
      <c r="B11" s="12">
        <v>2766</v>
      </c>
      <c r="C11" s="12">
        <v>1670</v>
      </c>
      <c r="D11" s="12">
        <v>1541</v>
      </c>
      <c r="E11" s="12">
        <v>1278</v>
      </c>
      <c r="F11" s="12">
        <v>963</v>
      </c>
      <c r="G11" s="12">
        <v>906</v>
      </c>
      <c r="H11" s="12">
        <v>926</v>
      </c>
      <c r="I11" s="12">
        <v>1205</v>
      </c>
      <c r="J11" s="12">
        <v>1234</v>
      </c>
      <c r="K11" s="12">
        <v>1564</v>
      </c>
      <c r="L11" s="12">
        <v>1546</v>
      </c>
      <c r="M11" s="12">
        <v>2665</v>
      </c>
    </row>
    <row r="12" spans="1:13" x14ac:dyDescent="0.25">
      <c r="A12" s="2" t="s">
        <v>88</v>
      </c>
      <c r="B12" s="12">
        <v>1662</v>
      </c>
      <c r="C12" s="12">
        <v>22822</v>
      </c>
      <c r="D12" s="12">
        <v>41980</v>
      </c>
      <c r="E12" s="12">
        <v>36008</v>
      </c>
      <c r="F12" s="12">
        <v>29330</v>
      </c>
      <c r="G12" s="12">
        <v>26356</v>
      </c>
      <c r="H12" s="12">
        <v>29373</v>
      </c>
      <c r="I12" s="12">
        <v>30485</v>
      </c>
      <c r="J12" s="12">
        <v>37163</v>
      </c>
      <c r="K12" s="12">
        <v>31762</v>
      </c>
      <c r="L12" s="12">
        <v>30964</v>
      </c>
      <c r="M12" s="12">
        <v>33988</v>
      </c>
    </row>
    <row r="13" spans="1:13" x14ac:dyDescent="0.25">
      <c r="A13" s="2" t="s">
        <v>89</v>
      </c>
      <c r="B13" s="12">
        <v>57252</v>
      </c>
      <c r="C13" s="12">
        <v>52025</v>
      </c>
      <c r="D13" s="12">
        <v>47111</v>
      </c>
      <c r="E13" s="12">
        <v>55867</v>
      </c>
      <c r="F13" s="12">
        <v>71318</v>
      </c>
      <c r="G13" s="12">
        <v>71937</v>
      </c>
      <c r="H13" s="12">
        <v>78672</v>
      </c>
      <c r="I13" s="12">
        <v>87936</v>
      </c>
      <c r="J13" s="12">
        <v>83947</v>
      </c>
      <c r="K13" s="12">
        <v>92542</v>
      </c>
      <c r="L13" s="12">
        <v>103086</v>
      </c>
      <c r="M13" s="12">
        <v>113171</v>
      </c>
    </row>
    <row r="14" spans="1:13" x14ac:dyDescent="0.25">
      <c r="A14" s="3" t="s">
        <v>90</v>
      </c>
      <c r="B14" s="12">
        <v>73318</v>
      </c>
      <c r="C14" s="12">
        <v>88291</v>
      </c>
      <c r="D14" s="12">
        <v>102333</v>
      </c>
      <c r="E14" s="12">
        <v>105126</v>
      </c>
      <c r="F14" s="12">
        <v>113901</v>
      </c>
      <c r="G14" s="12">
        <v>120127</v>
      </c>
      <c r="H14" s="12">
        <v>129992</v>
      </c>
      <c r="I14" s="12">
        <v>140924</v>
      </c>
      <c r="J14" s="12">
        <v>142859</v>
      </c>
      <c r="K14" s="12">
        <v>145472</v>
      </c>
      <c r="L14" s="12">
        <v>158649</v>
      </c>
      <c r="M14" s="12">
        <v>181167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9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ColWidth="8.7109375" defaultRowHeight="15" x14ac:dyDescent="0.25"/>
  <cols>
    <col min="1" max="1" width="32" customWidth="1"/>
    <col min="2" max="13" width="11" customWidth="1"/>
  </cols>
  <sheetData>
    <row r="1" spans="1:13" ht="16.5" x14ac:dyDescent="0.25">
      <c r="A1" s="4" t="s">
        <v>91</v>
      </c>
    </row>
    <row r="2" spans="1:13" x14ac:dyDescent="0.25">
      <c r="A2" s="5" t="s">
        <v>7</v>
      </c>
    </row>
    <row r="4" spans="1:13" x14ac:dyDescent="0.25">
      <c r="A4" s="6" t="s">
        <v>68</v>
      </c>
      <c r="B4" s="7" t="s">
        <v>37</v>
      </c>
      <c r="C4" s="7" t="s">
        <v>38</v>
      </c>
      <c r="D4" s="7" t="s">
        <v>39</v>
      </c>
      <c r="E4" s="7" t="s">
        <v>40</v>
      </c>
      <c r="F4" s="7" t="s">
        <v>41</v>
      </c>
      <c r="G4" s="7" t="s">
        <v>42</v>
      </c>
      <c r="H4" s="7" t="s">
        <v>43</v>
      </c>
      <c r="I4" s="7" t="s">
        <v>44</v>
      </c>
      <c r="J4" s="7" t="s">
        <v>45</v>
      </c>
      <c r="K4" s="7" t="s">
        <v>46</v>
      </c>
      <c r="L4" s="7" t="s">
        <v>47</v>
      </c>
      <c r="M4" s="7" t="s">
        <v>48</v>
      </c>
    </row>
    <row r="5" spans="1:13" x14ac:dyDescent="0.25">
      <c r="A5" s="2" t="s">
        <v>92</v>
      </c>
      <c r="B5" s="12">
        <v>19369</v>
      </c>
      <c r="C5" s="12">
        <v>19109</v>
      </c>
      <c r="D5" s="12">
        <v>25223</v>
      </c>
      <c r="E5" s="12">
        <v>25067</v>
      </c>
      <c r="F5" s="12">
        <v>28593</v>
      </c>
      <c r="G5" s="12">
        <v>32369</v>
      </c>
      <c r="H5" s="12">
        <v>38802</v>
      </c>
      <c r="I5" s="12">
        <v>39949</v>
      </c>
      <c r="J5" s="12">
        <v>41965</v>
      </c>
      <c r="K5" s="12">
        <v>44338</v>
      </c>
      <c r="L5" s="12">
        <v>48908</v>
      </c>
      <c r="M5" s="12">
        <v>52094</v>
      </c>
    </row>
    <row r="6" spans="1:13" x14ac:dyDescent="0.25">
      <c r="A6" s="2" t="s">
        <v>93</v>
      </c>
      <c r="B6" s="12">
        <v>-1807</v>
      </c>
      <c r="C6" s="12">
        <v>-5010</v>
      </c>
      <c r="D6" s="12">
        <v>-16895</v>
      </c>
      <c r="E6" s="12">
        <v>3104</v>
      </c>
      <c r="F6" s="12">
        <v>1645</v>
      </c>
      <c r="G6" s="12">
        <v>8968</v>
      </c>
      <c r="H6" s="12">
        <v>-7956</v>
      </c>
      <c r="I6" s="12">
        <v>-738</v>
      </c>
      <c r="J6" s="12">
        <v>548</v>
      </c>
      <c r="K6" s="12">
        <v>6091</v>
      </c>
      <c r="L6" s="12">
        <v>-2144</v>
      </c>
      <c r="M6" s="12">
        <v>-11886</v>
      </c>
    </row>
    <row r="7" spans="1:13" x14ac:dyDescent="0.25">
      <c r="A7" s="2" t="s">
        <v>94</v>
      </c>
      <c r="B7" s="12">
        <v>-17168</v>
      </c>
      <c r="C7" s="12">
        <v>-9666</v>
      </c>
      <c r="D7" s="12">
        <v>-11026</v>
      </c>
      <c r="E7" s="12">
        <v>-26885</v>
      </c>
      <c r="F7" s="12">
        <v>-27897</v>
      </c>
      <c r="G7" s="12">
        <v>-39915</v>
      </c>
      <c r="H7" s="12">
        <v>-32634</v>
      </c>
      <c r="I7" s="12">
        <v>-33581</v>
      </c>
      <c r="J7" s="12">
        <v>-47878</v>
      </c>
      <c r="K7" s="12">
        <v>-48536</v>
      </c>
      <c r="L7" s="12">
        <v>-47438</v>
      </c>
      <c r="M7" s="12">
        <v>-42133</v>
      </c>
    </row>
    <row r="8" spans="1:13" x14ac:dyDescent="0.25">
      <c r="A8" s="2" t="s">
        <v>95</v>
      </c>
      <c r="B8" s="12">
        <v>394</v>
      </c>
      <c r="C8" s="12">
        <v>4433</v>
      </c>
      <c r="D8" s="12">
        <v>-2698</v>
      </c>
      <c r="E8" s="12">
        <v>1286</v>
      </c>
      <c r="F8" s="12">
        <v>2341</v>
      </c>
      <c r="G8" s="12">
        <v>1422</v>
      </c>
      <c r="H8" s="12">
        <v>-1788</v>
      </c>
      <c r="I8" s="12">
        <v>5630</v>
      </c>
      <c r="J8" s="12">
        <v>-5365</v>
      </c>
      <c r="K8" s="12">
        <v>1893</v>
      </c>
      <c r="L8" s="12">
        <v>-674</v>
      </c>
      <c r="M8" s="12">
        <v>-1925</v>
      </c>
    </row>
    <row r="9" spans="1:13" x14ac:dyDescent="0.25">
      <c r="A9" s="2" t="s">
        <v>96</v>
      </c>
      <c r="B9" s="12">
        <v>16426</v>
      </c>
      <c r="C9" s="12">
        <v>17144</v>
      </c>
      <c r="D9" s="12">
        <v>23270</v>
      </c>
      <c r="E9" s="12">
        <v>23263</v>
      </c>
      <c r="F9" s="12">
        <v>26461</v>
      </c>
      <c r="G9" s="12">
        <v>29281</v>
      </c>
      <c r="H9" s="12">
        <v>35663</v>
      </c>
      <c r="I9" s="12">
        <v>36985</v>
      </c>
      <c r="J9" s="12">
        <v>38902</v>
      </c>
      <c r="K9" s="12">
        <v>41688</v>
      </c>
      <c r="L9" s="12">
        <v>44994</v>
      </c>
      <c r="M9" s="12">
        <v>48013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9B332-D5F2-4DB6-AADE-E47D00B77B72}">
  <dimension ref="A1:J35"/>
  <sheetViews>
    <sheetView tabSelected="1" topLeftCell="A3" workbookViewId="0">
      <selection activeCell="C19" sqref="C19"/>
    </sheetView>
  </sheetViews>
  <sheetFormatPr defaultRowHeight="15" x14ac:dyDescent="0.25"/>
  <cols>
    <col min="1" max="1" width="82.140625" bestFit="1" customWidth="1"/>
    <col min="2" max="2" width="11.7109375" bestFit="1" customWidth="1"/>
    <col min="3" max="3" width="19.85546875" bestFit="1" customWidth="1"/>
    <col min="4" max="4" width="9.140625" bestFit="1" customWidth="1"/>
  </cols>
  <sheetData>
    <row r="1" spans="1:10" ht="18" x14ac:dyDescent="0.25">
      <c r="A1" s="15" t="s">
        <v>123</v>
      </c>
    </row>
    <row r="2" spans="1:10" x14ac:dyDescent="0.25">
      <c r="A2" s="16" t="s">
        <v>124</v>
      </c>
    </row>
    <row r="3" spans="1:10" x14ac:dyDescent="0.25">
      <c r="A3" s="17"/>
    </row>
    <row r="4" spans="1:10" ht="15.75" x14ac:dyDescent="0.25">
      <c r="A4" s="18" t="s">
        <v>125</v>
      </c>
    </row>
    <row r="5" spans="1:10" ht="45" x14ac:dyDescent="0.25">
      <c r="A5" s="19" t="s">
        <v>126</v>
      </c>
      <c r="B5" t="s">
        <v>69</v>
      </c>
      <c r="C5" t="s">
        <v>70</v>
      </c>
      <c r="D5" s="22" t="s">
        <v>71</v>
      </c>
    </row>
    <row r="6" spans="1:10" x14ac:dyDescent="0.25">
      <c r="A6" s="20" t="s">
        <v>127</v>
      </c>
      <c r="B6">
        <f>COUNT(Profit_Loss!B5:M5)</f>
        <v>12</v>
      </c>
      <c r="C6">
        <f>COUNT(Profit_Loss!$B6:$M6)</f>
        <v>12</v>
      </c>
      <c r="D6">
        <f>COUNT(Profit_Loss!$B7:$M7)</f>
        <v>12</v>
      </c>
    </row>
    <row r="7" spans="1:10" x14ac:dyDescent="0.25">
      <c r="A7" s="21" t="s">
        <v>128</v>
      </c>
      <c r="B7">
        <f>AVERAGE(Profit_Loss!B5:M5)</f>
        <v>174366.91666666666</v>
      </c>
      <c r="C7">
        <f>AVERAGE(Profit_Loss!B6:M6)</f>
        <v>127320</v>
      </c>
      <c r="D7">
        <f>AVERAGE(Profit_Loss!B7:M7)</f>
        <v>47047</v>
      </c>
    </row>
    <row r="8" spans="1:10" x14ac:dyDescent="0.25">
      <c r="A8" s="20" t="s">
        <v>129</v>
      </c>
      <c r="B8">
        <f>MEDIAN(Profit_Loss!B5:M5)</f>
        <v>160563</v>
      </c>
      <c r="C8">
        <f>MEDIAN(Profit_Loss!B6:M6)</f>
        <v>116235.5</v>
      </c>
    </row>
    <row r="9" spans="1:10" x14ac:dyDescent="0.25">
      <c r="A9" s="21" t="s">
        <v>130</v>
      </c>
      <c r="B9">
        <f>_xlfn.STDEV.S(Profit_Loss!B5:M5)</f>
        <v>60412.445363605402</v>
      </c>
      <c r="C9">
        <f>_xlfn.STDEV.S(Profit_Loss!B6:M6)</f>
        <v>44438.31604902156</v>
      </c>
    </row>
    <row r="10" spans="1:10" x14ac:dyDescent="0.25">
      <c r="A10" s="20" t="s">
        <v>131</v>
      </c>
      <c r="B10">
        <f>MIN(Profit_Loss!B5:M5)</f>
        <v>94648</v>
      </c>
      <c r="C10">
        <f>MIN(Profit_Loss!B6:M6)</f>
        <v>70167</v>
      </c>
    </row>
    <row r="11" spans="1:10" x14ac:dyDescent="0.25">
      <c r="A11" s="20" t="s">
        <v>132</v>
      </c>
      <c r="B11">
        <f>QUARTILE(Profit_Loss!B5:M5,1)</f>
        <v>121819.5</v>
      </c>
      <c r="C11">
        <f>QUARTILE(Profit_Loss!B6:M6,1)</f>
        <v>89354.75</v>
      </c>
    </row>
    <row r="12" spans="1:10" x14ac:dyDescent="0.25">
      <c r="A12" s="20" t="s">
        <v>133</v>
      </c>
      <c r="B12">
        <f>QUARTILE(Profit_Loss!B5:M5,3)</f>
        <v>229316.75</v>
      </c>
      <c r="C12">
        <f>QUARTILE(Profit_Loss!B6:M6,3)</f>
        <v>168798.5</v>
      </c>
    </row>
    <row r="13" spans="1:10" x14ac:dyDescent="0.25">
      <c r="A13" s="20" t="s">
        <v>134</v>
      </c>
      <c r="B13">
        <f>MAX(Profit_Loss!B5:M5)</f>
        <v>267021</v>
      </c>
      <c r="C13">
        <f>MAX(Profit_Loss!B6:M6)</f>
        <v>194623</v>
      </c>
    </row>
    <row r="14" spans="1:10" x14ac:dyDescent="0.25">
      <c r="A14" s="20" t="s">
        <v>135</v>
      </c>
      <c r="B14">
        <f>B13-B10</f>
        <v>172373</v>
      </c>
      <c r="C14">
        <f t="shared" ref="C14:J14" si="0">C13-C10</f>
        <v>124456</v>
      </c>
      <c r="D14">
        <f t="shared" si="0"/>
        <v>0</v>
      </c>
      <c r="E14">
        <f t="shared" si="0"/>
        <v>0</v>
      </c>
      <c r="F14">
        <f t="shared" si="0"/>
        <v>0</v>
      </c>
      <c r="G14">
        <f t="shared" si="0"/>
        <v>0</v>
      </c>
      <c r="H14">
        <f t="shared" si="0"/>
        <v>0</v>
      </c>
      <c r="I14">
        <f t="shared" si="0"/>
        <v>0</v>
      </c>
      <c r="J14">
        <f t="shared" si="0"/>
        <v>0</v>
      </c>
    </row>
    <row r="15" spans="1:10" x14ac:dyDescent="0.25">
      <c r="A15" s="20" t="s">
        <v>136</v>
      </c>
      <c r="B15">
        <f>B12-B11</f>
        <v>107497.25</v>
      </c>
      <c r="C15">
        <f t="shared" ref="C15:J15" si="1">C12-C11</f>
        <v>79443.75</v>
      </c>
      <c r="D15">
        <f t="shared" si="1"/>
        <v>0</v>
      </c>
      <c r="E15">
        <f t="shared" si="1"/>
        <v>0</v>
      </c>
      <c r="F15">
        <f t="shared" si="1"/>
        <v>0</v>
      </c>
      <c r="G15">
        <f t="shared" si="1"/>
        <v>0</v>
      </c>
      <c r="H15">
        <f t="shared" si="1"/>
        <v>0</v>
      </c>
      <c r="I15">
        <f t="shared" si="1"/>
        <v>0</v>
      </c>
      <c r="J15">
        <f t="shared" si="1"/>
        <v>0</v>
      </c>
    </row>
    <row r="16" spans="1:10" x14ac:dyDescent="0.25">
      <c r="A16" s="20" t="s">
        <v>137</v>
      </c>
      <c r="B16">
        <f>(B9/B7)*100</f>
        <v>34.64673604287821</v>
      </c>
      <c r="C16">
        <f t="shared" ref="C16:J16" si="2">(C9/C7)*100</f>
        <v>34.902855834921112</v>
      </c>
      <c r="D16">
        <f t="shared" si="2"/>
        <v>0</v>
      </c>
      <c r="E16" t="e">
        <f t="shared" si="2"/>
        <v>#DIV/0!</v>
      </c>
      <c r="F16" t="e">
        <f t="shared" si="2"/>
        <v>#DIV/0!</v>
      </c>
      <c r="G16" t="e">
        <f t="shared" si="2"/>
        <v>#DIV/0!</v>
      </c>
      <c r="H16" t="e">
        <f t="shared" si="2"/>
        <v>#DIV/0!</v>
      </c>
      <c r="I16" t="e">
        <f t="shared" si="2"/>
        <v>#DIV/0!</v>
      </c>
      <c r="J16" t="e">
        <f t="shared" si="2"/>
        <v>#DIV/0!</v>
      </c>
    </row>
    <row r="17" spans="1:10" x14ac:dyDescent="0.25">
      <c r="A17" s="20" t="s">
        <v>138</v>
      </c>
      <c r="B17">
        <f>SKEW(Profit_Loss!B5:M5)</f>
        <v>0.30991481456337755</v>
      </c>
      <c r="C17">
        <f>SKEW(Profit_Loss!B6:M6)</f>
        <v>0.33216438191335435</v>
      </c>
    </row>
    <row r="18" spans="1:10" x14ac:dyDescent="0.25">
      <c r="A18" s="20" t="s">
        <v>139</v>
      </c>
      <c r="B18">
        <f>KURT(Profit_Loss!B5:M5)</f>
        <v>-1.4316470080577521</v>
      </c>
      <c r="C18">
        <f>KURT(Profit_Loss!B6:M6)</f>
        <v>-1.4537287305289612</v>
      </c>
    </row>
    <row r="19" spans="1:10" x14ac:dyDescent="0.25">
      <c r="A19" s="21" t="s">
        <v>140</v>
      </c>
      <c r="B19">
        <f>((Profit_Loss!M5/Profit_Loss!B5)^1/12)-1</f>
        <v>-0.76489994505958925</v>
      </c>
      <c r="C19">
        <f>((Profit_Loss!$M6/Profit_Loss!$B6)^1/12)-1</f>
        <v>-0.76885739260146035</v>
      </c>
      <c r="D19">
        <f>((Profit_Loss!$M7/Profit_Loss!$B7)^1/12)-1</f>
        <v>-0.75356724668463904</v>
      </c>
      <c r="E19">
        <f>((Profit_Loss!$M8/Profit_Loss!$B8)^1/12)-1</f>
        <v>-1.0027777777777778</v>
      </c>
      <c r="F19">
        <f>((Profit_Loss!$M9/Profit_Loss!$B9)^1/12)-1</f>
        <v>-1.6826923076923017E-2</v>
      </c>
      <c r="G19">
        <f>((Profit_Loss!$M10/Profit_Loss!$B10)^1/12)-1</f>
        <v>-0.74244950898647399</v>
      </c>
      <c r="H19">
        <f>((Profit_Loss!$M11/Profit_Loss!$B11)^1/12)-1</f>
        <v>-0.79248421933226865</v>
      </c>
      <c r="I19">
        <f>((Profit_Loss!$M12/Profit_Loss!$B12)^1/12)-1</f>
        <v>-0.91666666666666663</v>
      </c>
      <c r="J19">
        <f>((Profit_Loss!$M13/Profit_Loss!$B13)^1/12)-1</f>
        <v>-0.79455799268860083</v>
      </c>
    </row>
    <row r="20" spans="1:10" x14ac:dyDescent="0.25">
      <c r="A20" s="17"/>
    </row>
    <row r="21" spans="1:10" ht="15.75" x14ac:dyDescent="0.25">
      <c r="A21" s="18" t="s">
        <v>141</v>
      </c>
    </row>
    <row r="22" spans="1:10" x14ac:dyDescent="0.25">
      <c r="A22" s="19" t="s">
        <v>126</v>
      </c>
      <c r="B22" t="s">
        <v>98</v>
      </c>
      <c r="C22" t="s">
        <v>99</v>
      </c>
      <c r="D22" t="s">
        <v>100</v>
      </c>
    </row>
    <row r="23" spans="1:10" x14ac:dyDescent="0.25">
      <c r="A23" s="20" t="s">
        <v>127</v>
      </c>
      <c r="B23">
        <f>COUNT(Ratios_Reported!$B5:$M5)</f>
        <v>12</v>
      </c>
      <c r="C23">
        <f>COUNT(Ratios_Reported!$B6:$M6)</f>
        <v>12</v>
      </c>
      <c r="D23">
        <f>COUNT(Ratios_Reported!$B7:$M7)</f>
        <v>12</v>
      </c>
    </row>
    <row r="24" spans="1:10" x14ac:dyDescent="0.25">
      <c r="A24" s="21" t="s">
        <v>128</v>
      </c>
      <c r="B24">
        <f>AVERAGE(Ratios_Reported!B5:M5)</f>
        <v>77.416666666666671</v>
      </c>
      <c r="C24">
        <f>AVERAGE(Ratios_Reported!B6:M6)</f>
        <v>48.333333333333336</v>
      </c>
      <c r="D24">
        <f>AVERAGE(Ratios_Reported!B7:M7)</f>
        <v>52.666666666666664</v>
      </c>
    </row>
    <row r="25" spans="1:10" x14ac:dyDescent="0.25">
      <c r="A25" s="20" t="s">
        <v>129</v>
      </c>
      <c r="B25">
        <f>MEDIAN(Ratios_Reported!B5:M5)</f>
        <v>79.5</v>
      </c>
      <c r="C25">
        <f>MEDIAN(Ratios_Reported!B6:M6)</f>
        <v>48.5</v>
      </c>
      <c r="D25">
        <f>MEDIAN(Ratios_Reported!B7:M7)</f>
        <v>50.5</v>
      </c>
    </row>
    <row r="26" spans="1:10" x14ac:dyDescent="0.25">
      <c r="A26" s="21" t="s">
        <v>130</v>
      </c>
      <c r="B26">
        <f>_xlfn.STDEV.S(Ratios_Reported!B5:M5)</f>
        <v>7.6212422434491165</v>
      </c>
      <c r="C26">
        <f>_xlfn.STDEV.S(Ratios_Reported!B6:M6)</f>
        <v>15.628257236250764</v>
      </c>
      <c r="D26">
        <f>_xlfn.STDEV.S(Ratios_Reported!B7:M7)</f>
        <v>8.4135532795530903</v>
      </c>
    </row>
    <row r="27" spans="1:10" x14ac:dyDescent="0.25">
      <c r="A27" s="20" t="s">
        <v>131</v>
      </c>
      <c r="B27">
        <f>MIN(Ratios_Reported!B5:M5)</f>
        <v>67</v>
      </c>
      <c r="C27">
        <f>MIN(Ratios_Reported!B6:M6)</f>
        <v>30</v>
      </c>
      <c r="D27">
        <f>MIN(Ratios_Reported!B7:M7)</f>
        <v>39</v>
      </c>
    </row>
    <row r="28" spans="1:10" x14ac:dyDescent="0.25">
      <c r="A28" s="20" t="s">
        <v>132</v>
      </c>
      <c r="B28">
        <f>QUARTILE(Ratios_Reported!B5:M5,1)</f>
        <v>70.75</v>
      </c>
      <c r="C28">
        <f>QUARTILE(Ratios_Reported!B6:M6,1)</f>
        <v>33.75</v>
      </c>
      <c r="D28">
        <f>QUARTILE(Ratios_Reported!B7:M7,1)</f>
        <v>47</v>
      </c>
    </row>
    <row r="29" spans="1:10" x14ac:dyDescent="0.25">
      <c r="A29" s="20" t="s">
        <v>133</v>
      </c>
      <c r="B29">
        <f>QUARTILE(Ratios_Reported!B5:M5,3)</f>
        <v>81</v>
      </c>
      <c r="C29">
        <f>QUARTILE(Ratios_Reported!B6:M6,3)</f>
        <v>62</v>
      </c>
      <c r="D29">
        <f>QUARTILE(Ratios_Reported!B7:M7,3)</f>
        <v>60</v>
      </c>
    </row>
    <row r="30" spans="1:10" x14ac:dyDescent="0.25">
      <c r="A30" s="20" t="s">
        <v>134</v>
      </c>
      <c r="B30">
        <f>MAX(Ratios_Reported!B5:M5)</f>
        <v>93</v>
      </c>
      <c r="C30">
        <f>MAX(Ratios_Reported!B6:M6)</f>
        <v>70</v>
      </c>
      <c r="D30">
        <f>MAX(Ratios_Reported!B7:M7)</f>
        <v>65</v>
      </c>
    </row>
    <row r="31" spans="1:10" x14ac:dyDescent="0.25">
      <c r="A31" s="20" t="s">
        <v>135</v>
      </c>
      <c r="B31">
        <f>B30-B27</f>
        <v>26</v>
      </c>
      <c r="C31">
        <f t="shared" ref="C31:D31" si="3">C30-C27</f>
        <v>40</v>
      </c>
      <c r="D31">
        <f t="shared" si="3"/>
        <v>26</v>
      </c>
    </row>
    <row r="32" spans="1:10" x14ac:dyDescent="0.25">
      <c r="A32" s="20" t="s">
        <v>136</v>
      </c>
      <c r="B32">
        <f>B29-B28</f>
        <v>10.25</v>
      </c>
      <c r="C32">
        <f t="shared" ref="C32:D32" si="4">C29-C28</f>
        <v>28.25</v>
      </c>
      <c r="D32">
        <f t="shared" si="4"/>
        <v>13</v>
      </c>
    </row>
    <row r="33" spans="1:4" x14ac:dyDescent="0.25">
      <c r="A33" s="20" t="s">
        <v>137</v>
      </c>
      <c r="B33">
        <f>(B26/B24)*100</f>
        <v>9.8444463855101603</v>
      </c>
      <c r="C33">
        <f t="shared" ref="C33:D33" si="5">(C26/C24)*100</f>
        <v>32.334325316380891</v>
      </c>
      <c r="D33">
        <f t="shared" si="5"/>
        <v>15.9751011637084</v>
      </c>
    </row>
    <row r="34" spans="1:4" x14ac:dyDescent="0.25">
      <c r="A34" s="20" t="s">
        <v>138</v>
      </c>
      <c r="B34">
        <f>SKEW(Ratios_Reported!B5:M5)</f>
        <v>0.38234829241599022</v>
      </c>
      <c r="C34">
        <f>SKEW(Ratios_Reported!B6:M6)</f>
        <v>5.7241863708548016E-2</v>
      </c>
      <c r="D34">
        <f>SKEW(Ratios_Reported!B7:M7)</f>
        <v>0.19253019026280882</v>
      </c>
    </row>
    <row r="35" spans="1:4" x14ac:dyDescent="0.25">
      <c r="A35" s="20" t="s">
        <v>139</v>
      </c>
      <c r="B35">
        <f>KURT(Ratios_Reported!B5:M5)</f>
        <v>-2.1661936350218625E-2</v>
      </c>
      <c r="C35">
        <f>KURT(Ratios_Reported!B6:M6)</f>
        <v>-2.1620507484191145</v>
      </c>
      <c r="D35">
        <f>KURT(Ratios_Reported!B7:M7)</f>
        <v>-1.0308823184462366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7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6" sqref="B6"/>
    </sheetView>
  </sheetViews>
  <sheetFormatPr defaultColWidth="8.7109375" defaultRowHeight="15" x14ac:dyDescent="0.25"/>
  <cols>
    <col min="1" max="1" width="32" customWidth="1"/>
    <col min="2" max="13" width="11" customWidth="1"/>
  </cols>
  <sheetData>
    <row r="1" spans="1:13" ht="16.5" x14ac:dyDescent="0.25">
      <c r="A1" s="4" t="s">
        <v>97</v>
      </c>
    </row>
    <row r="2" spans="1:13" x14ac:dyDescent="0.25">
      <c r="A2" s="5" t="s">
        <v>7</v>
      </c>
    </row>
    <row r="4" spans="1:13" x14ac:dyDescent="0.25">
      <c r="A4" s="6" t="s">
        <v>68</v>
      </c>
      <c r="B4" s="7" t="s">
        <v>37</v>
      </c>
      <c r="C4" s="7" t="s">
        <v>38</v>
      </c>
      <c r="D4" s="7" t="s">
        <v>39</v>
      </c>
      <c r="E4" s="7" t="s">
        <v>40</v>
      </c>
      <c r="F4" s="7" t="s">
        <v>41</v>
      </c>
      <c r="G4" s="7" t="s">
        <v>42</v>
      </c>
      <c r="H4" s="7" t="s">
        <v>43</v>
      </c>
      <c r="I4" s="7" t="s">
        <v>44</v>
      </c>
      <c r="J4" s="7" t="s">
        <v>45</v>
      </c>
      <c r="K4" s="7" t="s">
        <v>46</v>
      </c>
      <c r="L4" s="7" t="s">
        <v>47</v>
      </c>
      <c r="M4" s="7" t="s">
        <v>48</v>
      </c>
    </row>
    <row r="5" spans="1:13" x14ac:dyDescent="0.25">
      <c r="A5" s="2" t="s">
        <v>98</v>
      </c>
      <c r="B5" s="12">
        <v>79</v>
      </c>
      <c r="C5" s="12">
        <v>81</v>
      </c>
      <c r="D5" s="12">
        <v>70</v>
      </c>
      <c r="E5" s="12">
        <v>74</v>
      </c>
      <c r="F5" s="12">
        <v>68</v>
      </c>
      <c r="G5" s="12">
        <v>71</v>
      </c>
      <c r="H5" s="12">
        <v>67</v>
      </c>
      <c r="I5" s="12">
        <v>80</v>
      </c>
      <c r="J5" s="12">
        <v>81</v>
      </c>
      <c r="K5" s="12">
        <v>81</v>
      </c>
      <c r="L5" s="12">
        <v>84</v>
      </c>
      <c r="M5" s="12">
        <v>93</v>
      </c>
    </row>
    <row r="6" spans="1:13" x14ac:dyDescent="0.25">
      <c r="A6" s="2" t="s">
        <v>99</v>
      </c>
      <c r="B6" s="12">
        <v>33</v>
      </c>
      <c r="C6" s="12">
        <v>62</v>
      </c>
      <c r="D6" s="12">
        <v>62</v>
      </c>
      <c r="E6" s="12">
        <v>61</v>
      </c>
      <c r="F6" s="12">
        <v>70</v>
      </c>
      <c r="G6" s="12">
        <v>64</v>
      </c>
      <c r="H6" s="12">
        <v>59</v>
      </c>
      <c r="I6" s="12">
        <v>33</v>
      </c>
      <c r="J6" s="12">
        <v>30</v>
      </c>
      <c r="K6" s="12">
        <v>34</v>
      </c>
      <c r="L6" s="12">
        <v>34</v>
      </c>
      <c r="M6" s="12">
        <v>38</v>
      </c>
    </row>
    <row r="7" spans="1:13" x14ac:dyDescent="0.25">
      <c r="A7" s="2" t="s">
        <v>100</v>
      </c>
      <c r="B7" s="12">
        <v>50</v>
      </c>
      <c r="C7" s="12">
        <v>51</v>
      </c>
      <c r="D7" s="12">
        <v>44</v>
      </c>
      <c r="E7" s="12">
        <v>39</v>
      </c>
      <c r="F7" s="12">
        <v>47</v>
      </c>
      <c r="G7" s="12">
        <v>47</v>
      </c>
      <c r="H7" s="12">
        <v>49</v>
      </c>
      <c r="I7" s="12">
        <v>54</v>
      </c>
      <c r="J7" s="12">
        <v>59</v>
      </c>
      <c r="K7" s="12">
        <v>64</v>
      </c>
      <c r="L7" s="12">
        <v>65</v>
      </c>
      <c r="M7" s="12">
        <v>63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13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ColWidth="8.7109375" defaultRowHeight="15" x14ac:dyDescent="0.25"/>
  <cols>
    <col min="1" max="1" width="32" customWidth="1"/>
    <col min="2" max="14" width="11" customWidth="1"/>
  </cols>
  <sheetData>
    <row r="1" spans="1:14" ht="16.5" x14ac:dyDescent="0.25">
      <c r="A1" s="4" t="s">
        <v>101</v>
      </c>
    </row>
    <row r="2" spans="1:14" x14ac:dyDescent="0.25">
      <c r="A2" s="5" t="s">
        <v>7</v>
      </c>
    </row>
    <row r="4" spans="1:14" x14ac:dyDescent="0.25">
      <c r="A4" s="6" t="s">
        <v>68</v>
      </c>
      <c r="B4" s="7" t="s">
        <v>102</v>
      </c>
      <c r="C4" s="7" t="s">
        <v>103</v>
      </c>
      <c r="D4" s="7" t="s">
        <v>104</v>
      </c>
      <c r="E4" s="7" t="s">
        <v>105</v>
      </c>
      <c r="F4" s="7" t="s">
        <v>106</v>
      </c>
      <c r="G4" s="7" t="s">
        <v>107</v>
      </c>
      <c r="H4" s="7" t="s">
        <v>108</v>
      </c>
      <c r="I4" s="7" t="s">
        <v>109</v>
      </c>
      <c r="J4" s="7" t="s">
        <v>110</v>
      </c>
      <c r="K4" s="7" t="s">
        <v>111</v>
      </c>
      <c r="L4" s="7" t="s">
        <v>112</v>
      </c>
      <c r="M4" s="7" t="s">
        <v>113</v>
      </c>
      <c r="N4" s="7" t="s">
        <v>114</v>
      </c>
    </row>
    <row r="5" spans="1:14" x14ac:dyDescent="0.25">
      <c r="A5" s="2" t="s">
        <v>69</v>
      </c>
      <c r="B5" s="12">
        <v>59692</v>
      </c>
      <c r="C5" s="12">
        <v>60583</v>
      </c>
      <c r="D5" s="12">
        <v>61237</v>
      </c>
      <c r="E5" s="12">
        <v>62613</v>
      </c>
      <c r="F5" s="12">
        <v>64259</v>
      </c>
      <c r="G5" s="12">
        <v>63973</v>
      </c>
      <c r="H5" s="12">
        <v>64479</v>
      </c>
      <c r="I5" s="12">
        <v>63437</v>
      </c>
      <c r="J5" s="12">
        <v>65799</v>
      </c>
      <c r="K5" s="12">
        <v>67087</v>
      </c>
      <c r="L5" s="12">
        <v>70698</v>
      </c>
      <c r="M5" s="12">
        <v>72275</v>
      </c>
      <c r="N5" s="12">
        <v>73188</v>
      </c>
    </row>
    <row r="6" spans="1:14" x14ac:dyDescent="0.25">
      <c r="A6" s="2" t="s">
        <v>70</v>
      </c>
      <c r="B6" s="12">
        <v>43946</v>
      </c>
      <c r="C6" s="12">
        <v>44195</v>
      </c>
      <c r="D6" s="12">
        <v>44073</v>
      </c>
      <c r="E6" s="12">
        <v>45951</v>
      </c>
      <c r="F6" s="12">
        <v>47528</v>
      </c>
      <c r="G6" s="12">
        <v>46939</v>
      </c>
      <c r="H6" s="12">
        <v>47499</v>
      </c>
      <c r="I6" s="12">
        <v>46562</v>
      </c>
      <c r="J6" s="12">
        <v>47821</v>
      </c>
      <c r="K6" s="12">
        <v>48818</v>
      </c>
      <c r="L6" s="12">
        <v>51422</v>
      </c>
      <c r="M6" s="12">
        <v>53719</v>
      </c>
      <c r="N6" s="12">
        <v>54373</v>
      </c>
    </row>
    <row r="7" spans="1:14" x14ac:dyDescent="0.25">
      <c r="A7" s="3" t="s">
        <v>115</v>
      </c>
      <c r="B7" s="12">
        <v>15746</v>
      </c>
      <c r="C7" s="12">
        <v>16388</v>
      </c>
      <c r="D7" s="12">
        <v>17164</v>
      </c>
      <c r="E7" s="12">
        <v>16662</v>
      </c>
      <c r="F7" s="12">
        <v>16731</v>
      </c>
      <c r="G7" s="12">
        <v>17034</v>
      </c>
      <c r="H7" s="12">
        <v>16980</v>
      </c>
      <c r="I7" s="12">
        <v>16875</v>
      </c>
      <c r="J7" s="12">
        <v>17978</v>
      </c>
      <c r="K7" s="12">
        <v>18269</v>
      </c>
      <c r="L7" s="12">
        <v>19276</v>
      </c>
      <c r="M7" s="12">
        <v>18556</v>
      </c>
      <c r="N7" s="12">
        <v>18815</v>
      </c>
    </row>
    <row r="8" spans="1:14" x14ac:dyDescent="0.25">
      <c r="A8" s="2" t="s">
        <v>72</v>
      </c>
      <c r="B8" s="12">
        <v>1006</v>
      </c>
      <c r="C8" s="12">
        <v>-96</v>
      </c>
      <c r="D8" s="12">
        <v>1157</v>
      </c>
      <c r="E8" s="12">
        <v>962</v>
      </c>
      <c r="F8" s="12">
        <v>729</v>
      </c>
      <c r="G8" s="12">
        <v>1243</v>
      </c>
      <c r="H8" s="12">
        <v>1028</v>
      </c>
      <c r="I8" s="12">
        <v>1660</v>
      </c>
      <c r="J8" s="12">
        <v>-268</v>
      </c>
      <c r="K8" s="12">
        <v>-2273</v>
      </c>
      <c r="L8" s="12">
        <v>757</v>
      </c>
      <c r="M8" s="12">
        <v>900</v>
      </c>
      <c r="N8" s="12">
        <v>1337</v>
      </c>
    </row>
    <row r="9" spans="1:14" x14ac:dyDescent="0.25">
      <c r="A9" s="2" t="s">
        <v>73</v>
      </c>
      <c r="B9" s="12">
        <v>159</v>
      </c>
      <c r="C9" s="12">
        <v>230</v>
      </c>
      <c r="D9" s="12">
        <v>226</v>
      </c>
      <c r="E9" s="12">
        <v>173</v>
      </c>
      <c r="F9" s="12">
        <v>162</v>
      </c>
      <c r="G9" s="12">
        <v>234</v>
      </c>
      <c r="H9" s="12">
        <v>227</v>
      </c>
      <c r="I9" s="12">
        <v>195</v>
      </c>
      <c r="J9" s="12">
        <v>229</v>
      </c>
      <c r="K9" s="12">
        <v>538</v>
      </c>
      <c r="L9" s="12">
        <v>265</v>
      </c>
      <c r="M9" s="12">
        <v>273</v>
      </c>
      <c r="N9" s="12">
        <v>252</v>
      </c>
    </row>
    <row r="10" spans="1:14" x14ac:dyDescent="0.25">
      <c r="A10" s="2" t="s">
        <v>74</v>
      </c>
      <c r="B10" s="12">
        <v>1263</v>
      </c>
      <c r="C10" s="12">
        <v>1233</v>
      </c>
      <c r="D10" s="12">
        <v>1246</v>
      </c>
      <c r="E10" s="12">
        <v>1220</v>
      </c>
      <c r="F10" s="12">
        <v>1266</v>
      </c>
      <c r="G10" s="12">
        <v>1377</v>
      </c>
      <c r="H10" s="12">
        <v>1379</v>
      </c>
      <c r="I10" s="12">
        <v>1361</v>
      </c>
      <c r="J10" s="12">
        <v>1413</v>
      </c>
      <c r="K10" s="12">
        <v>1380</v>
      </c>
      <c r="L10" s="12">
        <v>1406</v>
      </c>
      <c r="M10" s="12">
        <v>1239</v>
      </c>
      <c r="N10" s="12">
        <v>1262</v>
      </c>
    </row>
    <row r="11" spans="1:14" x14ac:dyDescent="0.25">
      <c r="A11" s="2" t="s">
        <v>75</v>
      </c>
      <c r="B11" s="12">
        <v>15330</v>
      </c>
      <c r="C11" s="12">
        <v>14829</v>
      </c>
      <c r="D11" s="12">
        <v>16849</v>
      </c>
      <c r="E11" s="12">
        <v>16231</v>
      </c>
      <c r="F11" s="12">
        <v>16032</v>
      </c>
      <c r="G11" s="12">
        <v>16666</v>
      </c>
      <c r="H11" s="12">
        <v>16402</v>
      </c>
      <c r="I11" s="12">
        <v>16979</v>
      </c>
      <c r="J11" s="12">
        <v>16068</v>
      </c>
      <c r="K11" s="12">
        <v>14078</v>
      </c>
      <c r="L11" s="12">
        <v>18362</v>
      </c>
      <c r="M11" s="12">
        <v>17944</v>
      </c>
      <c r="N11" s="12">
        <v>18638</v>
      </c>
    </row>
    <row r="12" spans="1:14" x14ac:dyDescent="0.25">
      <c r="A12" s="3" t="s">
        <v>77</v>
      </c>
      <c r="B12" s="12">
        <v>11380</v>
      </c>
      <c r="C12" s="12">
        <v>11097</v>
      </c>
      <c r="D12" s="12">
        <v>12502</v>
      </c>
      <c r="E12" s="12">
        <v>12105</v>
      </c>
      <c r="F12" s="12">
        <v>11955</v>
      </c>
      <c r="G12" s="12">
        <v>12444</v>
      </c>
      <c r="H12" s="12">
        <v>12293</v>
      </c>
      <c r="I12" s="12">
        <v>12819</v>
      </c>
      <c r="J12" s="12">
        <v>12131</v>
      </c>
      <c r="K12" s="12">
        <v>10720</v>
      </c>
      <c r="L12" s="12">
        <v>13784</v>
      </c>
      <c r="M12" s="12">
        <v>13420</v>
      </c>
      <c r="N12" s="12">
        <v>13934</v>
      </c>
    </row>
    <row r="13" spans="1:14" x14ac:dyDescent="0.25">
      <c r="A13" s="2" t="s">
        <v>78</v>
      </c>
      <c r="B13" s="13">
        <v>31</v>
      </c>
      <c r="C13" s="13">
        <v>30.56</v>
      </c>
      <c r="D13" s="13">
        <v>34.369999999999997</v>
      </c>
      <c r="E13" s="13">
        <v>33.28</v>
      </c>
      <c r="F13" s="13">
        <v>32.92</v>
      </c>
      <c r="G13" s="13">
        <v>34.22</v>
      </c>
      <c r="H13" s="13">
        <v>33.79</v>
      </c>
      <c r="I13" s="13">
        <v>35.270000000000003</v>
      </c>
      <c r="J13" s="13">
        <v>33.369999999999997</v>
      </c>
      <c r="K13" s="13">
        <v>29.45</v>
      </c>
      <c r="L13" s="13">
        <v>37.92</v>
      </c>
      <c r="M13" s="13">
        <v>36.9</v>
      </c>
      <c r="N13" s="13">
        <v>38.369999999999997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10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ColWidth="8.7109375" defaultRowHeight="15" x14ac:dyDescent="0.25"/>
  <cols>
    <col min="1" max="1" width="32" customWidth="1"/>
    <col min="2" max="13" width="11" customWidth="1"/>
  </cols>
  <sheetData>
    <row r="1" spans="1:13" ht="16.5" x14ac:dyDescent="0.25">
      <c r="A1" s="4" t="s">
        <v>116</v>
      </c>
    </row>
    <row r="2" spans="1:13" x14ac:dyDescent="0.25">
      <c r="A2" s="5" t="s">
        <v>7</v>
      </c>
    </row>
    <row r="4" spans="1:13" x14ac:dyDescent="0.25">
      <c r="A4" s="6" t="s">
        <v>68</v>
      </c>
      <c r="B4" s="7" t="s">
        <v>103</v>
      </c>
      <c r="C4" s="7" t="s">
        <v>104</v>
      </c>
      <c r="D4" s="7" t="s">
        <v>105</v>
      </c>
      <c r="E4" s="7" t="s">
        <v>106</v>
      </c>
      <c r="F4" s="7" t="s">
        <v>107</v>
      </c>
      <c r="G4" s="7" t="s">
        <v>108</v>
      </c>
      <c r="H4" s="7" t="s">
        <v>109</v>
      </c>
      <c r="I4" s="7" t="s">
        <v>110</v>
      </c>
      <c r="J4" s="7" t="s">
        <v>111</v>
      </c>
      <c r="K4" s="7" t="s">
        <v>112</v>
      </c>
      <c r="L4" s="7" t="s">
        <v>113</v>
      </c>
      <c r="M4" s="7" t="s">
        <v>114</v>
      </c>
    </row>
    <row r="5" spans="1:13" x14ac:dyDescent="0.25">
      <c r="A5" s="2" t="s">
        <v>117</v>
      </c>
      <c r="B5" s="13">
        <v>72.41</v>
      </c>
      <c r="C5" s="13">
        <v>71.77</v>
      </c>
      <c r="D5" s="13">
        <v>71.77</v>
      </c>
      <c r="E5" s="13">
        <v>71.77</v>
      </c>
      <c r="F5" s="13">
        <v>71.77</v>
      </c>
      <c r="G5" s="13">
        <v>71.77</v>
      </c>
      <c r="H5" s="13">
        <v>71.77</v>
      </c>
      <c r="I5" s="13">
        <v>71.77</v>
      </c>
      <c r="J5" s="13">
        <v>71.77</v>
      </c>
      <c r="K5" s="13">
        <v>71.77</v>
      </c>
      <c r="L5" s="13">
        <v>71.77</v>
      </c>
      <c r="M5" s="13">
        <v>71.77</v>
      </c>
    </row>
    <row r="6" spans="1:13" x14ac:dyDescent="0.25">
      <c r="A6" s="2" t="s">
        <v>118</v>
      </c>
      <c r="B6" s="13">
        <v>12.46</v>
      </c>
      <c r="C6" s="13">
        <v>12.7</v>
      </c>
      <c r="D6" s="13">
        <v>12.35</v>
      </c>
      <c r="E6" s="13">
        <v>12.66</v>
      </c>
      <c r="F6" s="13">
        <v>12.68</v>
      </c>
      <c r="G6" s="13">
        <v>12.04</v>
      </c>
      <c r="H6" s="13">
        <v>11.48</v>
      </c>
      <c r="I6" s="13">
        <v>10.33</v>
      </c>
      <c r="J6" s="13">
        <v>10.37</v>
      </c>
      <c r="K6" s="13">
        <v>9.66</v>
      </c>
      <c r="L6" s="13">
        <v>9.07</v>
      </c>
      <c r="M6" s="13">
        <v>9.01</v>
      </c>
    </row>
    <row r="7" spans="1:13" x14ac:dyDescent="0.25">
      <c r="A7" s="2" t="s">
        <v>119</v>
      </c>
      <c r="B7" s="13">
        <v>10.029999999999999</v>
      </c>
      <c r="C7" s="13">
        <v>10.61</v>
      </c>
      <c r="D7" s="12">
        <v>11</v>
      </c>
      <c r="E7" s="13">
        <v>10.86</v>
      </c>
      <c r="F7" s="13">
        <v>10.86</v>
      </c>
      <c r="G7" s="13">
        <v>11.49</v>
      </c>
      <c r="H7" s="13">
        <v>11.95</v>
      </c>
      <c r="I7" s="13">
        <v>12.64</v>
      </c>
      <c r="J7" s="13">
        <v>12.81</v>
      </c>
      <c r="K7" s="13">
        <v>13.34</v>
      </c>
      <c r="L7" s="13">
        <v>13.41</v>
      </c>
      <c r="M7" s="13">
        <v>13.57</v>
      </c>
    </row>
    <row r="8" spans="1:13" x14ac:dyDescent="0.25">
      <c r="A8" s="2" t="s">
        <v>120</v>
      </c>
      <c r="B8" s="13">
        <v>0.05</v>
      </c>
      <c r="C8" s="13">
        <v>0.06</v>
      </c>
      <c r="D8" s="13">
        <v>0.06</v>
      </c>
      <c r="E8" s="13">
        <v>0.06</v>
      </c>
      <c r="F8" s="13">
        <v>0.06</v>
      </c>
      <c r="G8" s="13">
        <v>0.06</v>
      </c>
      <c r="H8" s="13">
        <v>0.06</v>
      </c>
      <c r="I8" s="13">
        <v>0.06</v>
      </c>
      <c r="J8" s="13">
        <v>0.06</v>
      </c>
      <c r="K8" s="13">
        <v>0.06</v>
      </c>
      <c r="L8" s="13">
        <v>0.06</v>
      </c>
      <c r="M8" s="12">
        <v>0</v>
      </c>
    </row>
    <row r="9" spans="1:13" x14ac:dyDescent="0.25">
      <c r="A9" s="2" t="s">
        <v>121</v>
      </c>
      <c r="B9" s="13">
        <v>5.03</v>
      </c>
      <c r="C9" s="13">
        <v>4.8600000000000003</v>
      </c>
      <c r="D9" s="13">
        <v>4.82</v>
      </c>
      <c r="E9" s="13">
        <v>4.66</v>
      </c>
      <c r="F9" s="13">
        <v>4.63</v>
      </c>
      <c r="G9" s="13">
        <v>4.63</v>
      </c>
      <c r="H9" s="13">
        <v>4.7699999999999996</v>
      </c>
      <c r="I9" s="13">
        <v>5.21</v>
      </c>
      <c r="J9" s="13">
        <v>4.9800000000000004</v>
      </c>
      <c r="K9" s="13">
        <v>5.16</v>
      </c>
      <c r="L9" s="13">
        <v>5.69</v>
      </c>
      <c r="M9" s="13">
        <v>5.66</v>
      </c>
    </row>
    <row r="10" spans="1:13" x14ac:dyDescent="0.25">
      <c r="A10" s="2" t="s">
        <v>122</v>
      </c>
      <c r="B10" s="14">
        <v>2336016</v>
      </c>
      <c r="C10" s="14">
        <v>2203209</v>
      </c>
      <c r="D10" s="14">
        <v>2181391</v>
      </c>
      <c r="E10" s="14">
        <v>2093962</v>
      </c>
      <c r="F10" s="14">
        <v>2075117</v>
      </c>
      <c r="G10" s="14">
        <v>2115093</v>
      </c>
      <c r="H10" s="14">
        <v>2164289</v>
      </c>
      <c r="I10" s="14">
        <v>2388232</v>
      </c>
      <c r="J10" s="14">
        <v>2332275</v>
      </c>
      <c r="K10" s="14">
        <v>2450090</v>
      </c>
      <c r="L10" s="14">
        <v>2605182</v>
      </c>
      <c r="M10" s="14">
        <v>2579099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README</vt:lpstr>
      <vt:lpstr>Analysis</vt:lpstr>
      <vt:lpstr>Profit_Loss</vt:lpstr>
      <vt:lpstr>Balance_Sheet</vt:lpstr>
      <vt:lpstr>Cash_Flow</vt:lpstr>
      <vt:lpstr>Sheet1</vt:lpstr>
      <vt:lpstr>Ratios_Reported</vt:lpstr>
      <vt:lpstr>Quarterly</vt:lpstr>
      <vt:lpstr>Shareholding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Sahil .</cp:lastModifiedBy>
  <cp:revision>0</cp:revision>
  <dcterms:created xsi:type="dcterms:W3CDTF">2026-10-22T18:44:47Z</dcterms:created>
  <dcterms:modified xsi:type="dcterms:W3CDTF">2026-10-23T05:59:09Z</dcterms:modified>
  <dc:language>en-US</dc:language>
</cp:coreProperties>
</file>