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aio\Downloads\AS-1 AFM\"/>
    </mc:Choice>
  </mc:AlternateContent>
  <xr:revisionPtr revIDLastSave="0" documentId="13_ncr:1_{52F0AC43-B4C2-492F-90CF-EC1494E729E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OC &amp; Summary" sheetId="1" r:id="rId1"/>
    <sheet name="Income Statement" sheetId="2" r:id="rId2"/>
    <sheet name="Balance Sheet" sheetId="3" r:id="rId3"/>
    <sheet name="Forensic &amp; Ratio Analysis" sheetId="4" r:id="rId4"/>
    <sheet name="Notes to Accounts Linkages" sheetId="5" r:id="rId5"/>
    <sheet name="MD&amp;A Strategic Analysis" sheetId="6" r:id="rId6"/>
    <sheet name="ESG Performance (BRSR)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4" l="1"/>
  <c r="B63" i="3"/>
  <c r="C44" i="2"/>
  <c r="D44" i="2"/>
  <c r="E44" i="2"/>
  <c r="F44" i="2"/>
  <c r="B44" i="2"/>
  <c r="C43" i="2"/>
  <c r="D43" i="2"/>
  <c r="E43" i="2"/>
  <c r="F43" i="2"/>
  <c r="G43" i="2" s="1"/>
  <c r="B43" i="2"/>
  <c r="C42" i="2"/>
  <c r="D42" i="2"/>
  <c r="E42" i="2"/>
  <c r="F42" i="2"/>
  <c r="G42" i="2" s="1"/>
  <c r="B42" i="2"/>
  <c r="G41" i="2"/>
  <c r="C41" i="2"/>
  <c r="D41" i="2"/>
  <c r="E41" i="2"/>
  <c r="F41" i="2"/>
  <c r="B41" i="2"/>
  <c r="H41" i="2"/>
  <c r="B22" i="2"/>
  <c r="B24" i="2"/>
  <c r="B35" i="2"/>
  <c r="F24" i="4"/>
  <c r="E24" i="4"/>
  <c r="D24" i="4"/>
  <c r="C24" i="4"/>
  <c r="B24" i="4"/>
  <c r="F17" i="4"/>
  <c r="E17" i="4"/>
  <c r="D17" i="4"/>
  <c r="C17" i="4"/>
  <c r="B17" i="4"/>
  <c r="F10" i="4"/>
  <c r="E10" i="4"/>
  <c r="D10" i="4"/>
  <c r="C10" i="4"/>
  <c r="B10" i="4"/>
  <c r="F16" i="7"/>
  <c r="E16" i="7"/>
  <c r="D16" i="7"/>
  <c r="C16" i="7"/>
  <c r="B16" i="7"/>
  <c r="F10" i="7"/>
  <c r="E10" i="7"/>
  <c r="D10" i="7"/>
  <c r="C10" i="7"/>
  <c r="B10" i="7"/>
  <c r="F31" i="5"/>
  <c r="E31" i="5"/>
  <c r="D31" i="5"/>
  <c r="C31" i="5"/>
  <c r="B31" i="5"/>
  <c r="F25" i="5"/>
  <c r="E25" i="5"/>
  <c r="D25" i="5"/>
  <c r="C25" i="5"/>
  <c r="B25" i="5"/>
  <c r="F24" i="5"/>
  <c r="F26" i="5" s="1"/>
  <c r="E24" i="5"/>
  <c r="E26" i="5" s="1"/>
  <c r="D24" i="5"/>
  <c r="D26" i="5" s="1"/>
  <c r="C24" i="5"/>
  <c r="C26" i="5" s="1"/>
  <c r="B24" i="5"/>
  <c r="B26" i="5" s="1"/>
  <c r="E21" i="5"/>
  <c r="D21" i="5"/>
  <c r="F20" i="5"/>
  <c r="F21" i="5" s="1"/>
  <c r="E20" i="5"/>
  <c r="D20" i="5"/>
  <c r="C20" i="5"/>
  <c r="C21" i="5" s="1"/>
  <c r="B20" i="5"/>
  <c r="B21" i="5" s="1"/>
  <c r="F17" i="5"/>
  <c r="B17" i="5"/>
  <c r="F15" i="5"/>
  <c r="E15" i="5"/>
  <c r="D15" i="5"/>
  <c r="C15" i="5"/>
  <c r="C17" i="5" s="1"/>
  <c r="B15" i="5"/>
  <c r="F14" i="5"/>
  <c r="E14" i="5"/>
  <c r="E17" i="5" s="1"/>
  <c r="D14" i="5"/>
  <c r="D17" i="5" s="1"/>
  <c r="C14" i="5"/>
  <c r="B14" i="5"/>
  <c r="E9" i="5"/>
  <c r="F8" i="5"/>
  <c r="F9" i="5" s="1"/>
  <c r="E8" i="5"/>
  <c r="D8" i="5"/>
  <c r="C8" i="5"/>
  <c r="B8" i="5"/>
  <c r="B9" i="5" s="1"/>
  <c r="F7" i="5"/>
  <c r="E7" i="5"/>
  <c r="D7" i="5"/>
  <c r="C7" i="5"/>
  <c r="B7" i="5"/>
  <c r="F6" i="5"/>
  <c r="E6" i="5"/>
  <c r="D6" i="5"/>
  <c r="D9" i="5" s="1"/>
  <c r="C6" i="5"/>
  <c r="C9" i="5" s="1"/>
  <c r="B6" i="5"/>
  <c r="D30" i="4"/>
  <c r="E23" i="4"/>
  <c r="D23" i="4"/>
  <c r="E22" i="4"/>
  <c r="F21" i="4"/>
  <c r="F23" i="4" s="1"/>
  <c r="E21" i="4"/>
  <c r="D21" i="4"/>
  <c r="C21" i="4"/>
  <c r="C23" i="4" s="1"/>
  <c r="B21" i="4"/>
  <c r="B23" i="4" s="1"/>
  <c r="F20" i="4"/>
  <c r="E20" i="4"/>
  <c r="D20" i="4"/>
  <c r="C20" i="4"/>
  <c r="B20" i="4"/>
  <c r="F16" i="4"/>
  <c r="E16" i="4"/>
  <c r="B16" i="4"/>
  <c r="F15" i="4"/>
  <c r="B15" i="4"/>
  <c r="F14" i="4"/>
  <c r="E14" i="4"/>
  <c r="D14" i="4"/>
  <c r="D16" i="4" s="1"/>
  <c r="C14" i="4"/>
  <c r="B14" i="4"/>
  <c r="F13" i="4"/>
  <c r="E13" i="4"/>
  <c r="D13" i="4"/>
  <c r="C13" i="4"/>
  <c r="B13" i="4"/>
  <c r="F61" i="3"/>
  <c r="F28" i="4" s="1"/>
  <c r="E61" i="3"/>
  <c r="D61" i="3"/>
  <c r="C61" i="3"/>
  <c r="B61" i="3"/>
  <c r="B28" i="4" s="1"/>
  <c r="F49" i="3"/>
  <c r="E49" i="3"/>
  <c r="D49" i="3"/>
  <c r="C49" i="3"/>
  <c r="B49" i="3"/>
  <c r="D40" i="3"/>
  <c r="D62" i="3" s="1"/>
  <c r="C40" i="3"/>
  <c r="C62" i="3" s="1"/>
  <c r="F38" i="3"/>
  <c r="F30" i="4" s="1"/>
  <c r="E38" i="3"/>
  <c r="D38" i="3"/>
  <c r="D29" i="4" s="1"/>
  <c r="C38" i="3"/>
  <c r="C30" i="4" s="1"/>
  <c r="B38" i="3"/>
  <c r="B29" i="4" s="1"/>
  <c r="F32" i="3"/>
  <c r="B32" i="3"/>
  <c r="F30" i="3"/>
  <c r="E30" i="3"/>
  <c r="E28" i="4" s="1"/>
  <c r="D30" i="3"/>
  <c r="D28" i="4" s="1"/>
  <c r="C30" i="3"/>
  <c r="C32" i="3" s="1"/>
  <c r="C63" i="3" s="1"/>
  <c r="B30" i="3"/>
  <c r="F19" i="3"/>
  <c r="E19" i="3"/>
  <c r="E32" i="3" s="1"/>
  <c r="D19" i="3"/>
  <c r="D32" i="3" s="1"/>
  <c r="D63" i="3" s="1"/>
  <c r="C19" i="3"/>
  <c r="B19" i="3"/>
  <c r="F32" i="2"/>
  <c r="E32" i="2"/>
  <c r="D32" i="2"/>
  <c r="C32" i="2"/>
  <c r="B32" i="2"/>
  <c r="D23" i="2"/>
  <c r="D35" i="4" s="1"/>
  <c r="C23" i="2"/>
  <c r="C35" i="4" s="1"/>
  <c r="D22" i="2"/>
  <c r="C22" i="2"/>
  <c r="F21" i="2"/>
  <c r="F23" i="2" s="1"/>
  <c r="E21" i="2"/>
  <c r="E23" i="2" s="1"/>
  <c r="D21" i="2"/>
  <c r="C21" i="2"/>
  <c r="B21" i="2"/>
  <c r="B23" i="2" s="1"/>
  <c r="F19" i="2"/>
  <c r="E19" i="2"/>
  <c r="D19" i="2"/>
  <c r="C19" i="2"/>
  <c r="B19" i="2"/>
  <c r="F8" i="2"/>
  <c r="E8" i="2"/>
  <c r="D8" i="2"/>
  <c r="C8" i="2"/>
  <c r="B8" i="2"/>
  <c r="H44" i="2" l="1"/>
  <c r="H43" i="2"/>
  <c r="H42" i="2"/>
  <c r="G44" i="2"/>
  <c r="B31" i="4"/>
  <c r="B35" i="4"/>
  <c r="B26" i="2"/>
  <c r="B28" i="2" s="1"/>
  <c r="B34" i="2" s="1"/>
  <c r="F24" i="2"/>
  <c r="F31" i="4"/>
  <c r="F35" i="4"/>
  <c r="F26" i="2"/>
  <c r="F28" i="2" s="1"/>
  <c r="F34" i="2" s="1"/>
  <c r="E63" i="3"/>
  <c r="E26" i="2"/>
  <c r="E28" i="2" s="1"/>
  <c r="E34" i="2" s="1"/>
  <c r="E24" i="2"/>
  <c r="E31" i="4"/>
  <c r="E35" i="4"/>
  <c r="E29" i="4"/>
  <c r="C31" i="4"/>
  <c r="E22" i="2"/>
  <c r="C24" i="2"/>
  <c r="C15" i="4"/>
  <c r="B22" i="4"/>
  <c r="F22" i="4"/>
  <c r="C28" i="4"/>
  <c r="F29" i="4"/>
  <c r="E30" i="4"/>
  <c r="D31" i="4"/>
  <c r="F22" i="2"/>
  <c r="D24" i="2"/>
  <c r="C26" i="2"/>
  <c r="C28" i="2" s="1"/>
  <c r="C34" i="2" s="1"/>
  <c r="B40" i="3"/>
  <c r="B62" i="3" s="1"/>
  <c r="F40" i="3"/>
  <c r="F62" i="3" s="1"/>
  <c r="F63" i="3" s="1"/>
  <c r="D15" i="4"/>
  <c r="C22" i="4"/>
  <c r="C29" i="4"/>
  <c r="B30" i="4"/>
  <c r="E40" i="3"/>
  <c r="E62" i="3" s="1"/>
  <c r="D26" i="2"/>
  <c r="D28" i="2" s="1"/>
  <c r="D34" i="2" s="1"/>
  <c r="E15" i="4"/>
  <c r="D22" i="4"/>
  <c r="E35" i="2" l="1"/>
  <c r="E34" i="4"/>
  <c r="E8" i="4"/>
  <c r="E9" i="4" s="1"/>
  <c r="B8" i="4"/>
  <c r="B9" i="4" s="1"/>
  <c r="B34" i="4"/>
  <c r="D35" i="2"/>
  <c r="D8" i="4"/>
  <c r="D9" i="4" s="1"/>
  <c r="D34" i="4"/>
  <c r="C8" i="4"/>
  <c r="C9" i="4" s="1"/>
  <c r="C35" i="2"/>
  <c r="C34" i="4"/>
  <c r="F8" i="4"/>
  <c r="F9" i="4" s="1"/>
  <c r="F35" i="2"/>
  <c r="F34" i="4"/>
</calcChain>
</file>

<file path=xl/sharedStrings.xml><?xml version="1.0" encoding="utf-8"?>
<sst xmlns="http://schemas.openxmlformats.org/spreadsheetml/2006/main" count="263" uniqueCount="228">
  <si>
    <t>Polycab India Limited - 5-Year Financial Model</t>
  </si>
  <si>
    <t>Table of Contents</t>
  </si>
  <si>
    <t>Sheet Name</t>
  </si>
  <si>
    <t>Description</t>
  </si>
  <si>
    <t>TOC &amp; Summary</t>
  </si>
  <si>
    <t>This tab - contains the model overview, table of contents, and formatting key.</t>
  </si>
  <si>
    <t>Income Statement</t>
  </si>
  <si>
    <t>Consolidated Income Statement for FY22 to FY26 with historical trends and margins.</t>
  </si>
  <si>
    <t>Balance Sheet</t>
  </si>
  <si>
    <t>Consolidated Balance Sheet for FY22 to FY26 with assets, liabilities, and equity details.</t>
  </si>
  <si>
    <t>Forensic &amp; Ratio Analysis</t>
  </si>
  <si>
    <t>Forensic analysis, key performance ratios, and red flag warnings over the 5-year period.</t>
  </si>
  <si>
    <t>Notes to Accounts Linkages</t>
  </si>
  <si>
    <t>Footnote linkages connecting key Balance Sheet &amp; Income Statement rows to their quantitative accounting notes.</t>
  </si>
  <si>
    <t>MD&amp;A Strategic Analysis</t>
  </si>
  <si>
    <t>Longitudinal 5-year operational analysis of Polycab's segment performance, Project LEAP success, and Project Spring roadmap.</t>
  </si>
  <si>
    <t>ESG Performance (BRSR)</t>
  </si>
  <si>
    <t>Comprehensive socio-environmental and governance metrics (FY22-FY26), tracking emissions, renewable energy, circular economy, and CSR.</t>
  </si>
  <si>
    <t>Color / Style</t>
  </si>
  <si>
    <t>Role in Model</t>
  </si>
  <si>
    <t>Deep Blue Fill</t>
  </si>
  <si>
    <t>Section and Main Headers (Non-editable)</t>
  </si>
  <si>
    <t>Light Blue Fill</t>
  </si>
  <si>
    <t>Light Green Fill</t>
  </si>
  <si>
    <t>Calculated / Formula-driven Cells (Autofill)</t>
  </si>
  <si>
    <t>Light Red/Orange Fill</t>
  </si>
  <si>
    <t>Forensic Red Flag / Watch Out Triggers</t>
  </si>
  <si>
    <t>Metric</t>
  </si>
  <si>
    <t>FY22</t>
  </si>
  <si>
    <t>FY23</t>
  </si>
  <si>
    <t>FY24</t>
  </si>
  <si>
    <t>FY25</t>
  </si>
  <si>
    <t>FY26</t>
  </si>
  <si>
    <t>YoY Growth</t>
  </si>
  <si>
    <t>4-Yr CAGR</t>
  </si>
  <si>
    <t>Net Sales / Revenue</t>
  </si>
  <si>
    <t>EBITDA</t>
  </si>
  <si>
    <t>Profit After Tax (PAT)</t>
  </si>
  <si>
    <t>Shareholders Networth</t>
  </si>
  <si>
    <t>Polycab India Limited</t>
  </si>
  <si>
    <t>Line Item</t>
  </si>
  <si>
    <t>INCOME</t>
  </si>
  <si>
    <t>Revenue from operations</t>
  </si>
  <si>
    <t>Other income</t>
  </si>
  <si>
    <t>Total Income</t>
  </si>
  <si>
    <t>EXPENSES</t>
  </si>
  <si>
    <t>Cost of materials consumed</t>
  </si>
  <si>
    <t>Purchases of stock-in-trade</t>
  </si>
  <si>
    <t>Changes in inventories of finished goods, WIP and scrap</t>
  </si>
  <si>
    <t>Project bought outs and subcontracting cost</t>
  </si>
  <si>
    <t>Employee benefits expense</t>
  </si>
  <si>
    <t>Finance costs</t>
  </si>
  <si>
    <t>Depreciation and amortisation expense</t>
  </si>
  <si>
    <t>Other expenses</t>
  </si>
  <si>
    <t>Total expenses</t>
  </si>
  <si>
    <t>EBITDA (Excl. Other Income)</t>
  </si>
  <si>
    <t>EBITDA Margin (%)</t>
  </si>
  <si>
    <t>EBIT</t>
  </si>
  <si>
    <t>EBIT Margin (%)</t>
  </si>
  <si>
    <t>Share of profit / (loss) of joint venture (net of tax)</t>
  </si>
  <si>
    <t>Profit before tax (PBT)</t>
  </si>
  <si>
    <t>Tax Expenses</t>
  </si>
  <si>
    <t>Current tax</t>
  </si>
  <si>
    <t>Deferred tax</t>
  </si>
  <si>
    <t>Total Tax Expenses</t>
  </si>
  <si>
    <t>Net Profit Margin (%)</t>
  </si>
  <si>
    <t>ASSETS</t>
  </si>
  <si>
    <t>Non-current assets</t>
  </si>
  <si>
    <t>Property, plant and equipment (Net)</t>
  </si>
  <si>
    <t>Capital work-in-progress</t>
  </si>
  <si>
    <t>Investment property under construction</t>
  </si>
  <si>
    <t>Right of use assets</t>
  </si>
  <si>
    <t>Goodwill</t>
  </si>
  <si>
    <t>Other intangible assets</t>
  </si>
  <si>
    <t>Investments accounted for using equity method</t>
  </si>
  <si>
    <t>Non-current Trade receivables</t>
  </si>
  <si>
    <t>Other non-current financial assets</t>
  </si>
  <si>
    <t>Non-current tax assets (net)</t>
  </si>
  <si>
    <t>Deferred tax assets (net)</t>
  </si>
  <si>
    <t>Other non-current assets</t>
  </si>
  <si>
    <t>Total non-current assets</t>
  </si>
  <si>
    <t>Current assets</t>
  </si>
  <si>
    <t>Inventories</t>
  </si>
  <si>
    <t>Current Investments</t>
  </si>
  <si>
    <t>Current Trade receivables</t>
  </si>
  <si>
    <t>Cash and cash equivalents</t>
  </si>
  <si>
    <t>Bank balances other than cash and cash equivalents</t>
  </si>
  <si>
    <t>Loans - Current</t>
  </si>
  <si>
    <t>Other current financial assets</t>
  </si>
  <si>
    <t>Other current assets</t>
  </si>
  <si>
    <t>Total current assets</t>
  </si>
  <si>
    <t>Non-current assets classified as held for sale</t>
  </si>
  <si>
    <t>TOTAL ASSETS</t>
  </si>
  <si>
    <t>EQUITY AND LIABILITIES</t>
  </si>
  <si>
    <t>Equity</t>
  </si>
  <si>
    <t>Equity share capital</t>
  </si>
  <si>
    <t>Other equity</t>
  </si>
  <si>
    <t>Total Shareholders Networth</t>
  </si>
  <si>
    <t>Non-controlling interests</t>
  </si>
  <si>
    <t>Total Equity</t>
  </si>
  <si>
    <t>Non-current liabilities</t>
  </si>
  <si>
    <t>Long-term borrowings</t>
  </si>
  <si>
    <t>Lease liabilities - Non-current</t>
  </si>
  <si>
    <t>Other non-current financial liabilities</t>
  </si>
  <si>
    <t>Non-current provisions</t>
  </si>
  <si>
    <t>Deferred tax liabilities (net)</t>
  </si>
  <si>
    <t>Other non-current liabilities</t>
  </si>
  <si>
    <t>Total non-current liabilities</t>
  </si>
  <si>
    <t>Current liabilities</t>
  </si>
  <si>
    <t>Short-term borrowings</t>
  </si>
  <si>
    <t>Lease liabilities - Current</t>
  </si>
  <si>
    <t>Acceptances under Trade Payables</t>
  </si>
  <si>
    <t>Trade payables (Micro and Small)</t>
  </si>
  <si>
    <t>Trade payables (Creditors other than micro/small)</t>
  </si>
  <si>
    <t>Other current financial liabilities</t>
  </si>
  <si>
    <t>Other current liabilities</t>
  </si>
  <si>
    <t>Current provisions</t>
  </si>
  <si>
    <t>Current tax liabilities (net)</t>
  </si>
  <si>
    <t>Total current liabilities</t>
  </si>
  <si>
    <t>TOTAL EQUITY AND LIABILITIES</t>
  </si>
  <si>
    <t>Balance Check (Assets - Liabilities &amp; Equity)</t>
  </si>
  <si>
    <t>FORENSIC RED FLAG CHECKS</t>
  </si>
  <si>
    <t>1. Cash Flow Backing of PAT (CFO / PAT Ratio)</t>
  </si>
  <si>
    <t>Cash Flow from Operations (CFO)</t>
  </si>
  <si>
    <t>CFO / PAT Ratio (Target &gt; 1.0x)</t>
  </si>
  <si>
    <t>Forensic Trigger? (If &lt; 0.8x)</t>
  </si>
  <si>
    <t>2. Trade Receivables vs. Revenue Momentum</t>
  </si>
  <si>
    <t>Revenue YoY Growth</t>
  </si>
  <si>
    <t>Trade Receivables (Current + Non-current)</t>
  </si>
  <si>
    <t>Receivables YoY Growth</t>
  </si>
  <si>
    <t>Receivable days (Average)</t>
  </si>
  <si>
    <t>Receivable Growth Outpaces Revenue?</t>
  </si>
  <si>
    <t>3. Inventory Days &amp; Cost of Materials Mismatch</t>
  </si>
  <si>
    <t>Cost of Materials Consumed Growth</t>
  </si>
  <si>
    <t>Inventories (Balance Sheet)</t>
  </si>
  <si>
    <t>Inventory YoY Growth</t>
  </si>
  <si>
    <t>Inventory days (Average)</t>
  </si>
  <si>
    <t>Inventory Growth Outpaces Materials Cost?</t>
  </si>
  <si>
    <t>KEY FINANCIAL RATIOS</t>
  </si>
  <si>
    <t>Solvency &amp; Liquidity</t>
  </si>
  <si>
    <t>Current Ratio (Liquidity)</t>
  </si>
  <si>
    <t>Debt-to-Equity Ratio (Leverage)</t>
  </si>
  <si>
    <t>Gearing Ratio (%)</t>
  </si>
  <si>
    <t>Interest Coverage Ratio (x)</t>
  </si>
  <si>
    <t>Return / Profitability</t>
  </si>
  <si>
    <t>Return on Equity (RoE %)</t>
  </si>
  <si>
    <t>Return on Capital Employed (RoCE %)</t>
  </si>
  <si>
    <t>Note / Balance Sheet &amp; P&amp;L Linkages</t>
  </si>
  <si>
    <t>Note 3: Property, Plant &amp; Equipment (PPE) &amp; Capex Commitments</t>
  </si>
  <si>
    <t xml:space="preserve">  Property, Plant and Equipment (Net carrying value)</t>
  </si>
  <si>
    <t xml:space="preserve">  Capital Work-in-Progress (CWIP)</t>
  </si>
  <si>
    <t xml:space="preserve">  Investment Property under Construction</t>
  </si>
  <si>
    <t>Total Property, Plant &amp; Equipment Carrying Value</t>
  </si>
  <si>
    <t>Capital Commitments (Contracted but not provided, net of advances)</t>
  </si>
  <si>
    <t>Note 8: Trade Receivables Current/Non-current &amp; Expected Credit Loss (ECL)</t>
  </si>
  <si>
    <t xml:space="preserve">  Current Trade Receivables (Net)</t>
  </si>
  <si>
    <t xml:space="preserve">  Non-Current Trade Receivables (Net)</t>
  </si>
  <si>
    <t xml:space="preserve">  Less: Impairment Allowance for doubtful debts (Cumulative ECL)</t>
  </si>
  <si>
    <t>Total Gross Trade Receivables before ECL</t>
  </si>
  <si>
    <t>Note 21: Acceptances under Trade Payables (Usance Letters of Credit)</t>
  </si>
  <si>
    <t xml:space="preserve">  Acceptances (Trade Payables - Current)</t>
  </si>
  <si>
    <t xml:space="preserve">  Acceptances as a % of Total Current Liabilities</t>
  </si>
  <si>
    <t>Note 20: Lease Liabilities (Under Ind AS 116)</t>
  </si>
  <si>
    <t xml:space="preserve">  Lease Liabilities - Current (Amortised Cost)</t>
  </si>
  <si>
    <t xml:space="preserve">  Lease Liabilities - Non-Current (Amortised Cost)</t>
  </si>
  <si>
    <t>Total Lease Liabilities Outstanding</t>
  </si>
  <si>
    <t>Note 37/39: Related Parties &amp; Strategic Disclosures</t>
  </si>
  <si>
    <t xml:space="preserve">  Impairment of Receivables from Joint Venture (TEPL)</t>
  </si>
  <si>
    <t xml:space="preserve">  Actual Corporate Social Responsibility (CSR) Spend</t>
  </si>
  <si>
    <t xml:space="preserve">  Finance Costs from P&amp;L (For audit reference)</t>
  </si>
  <si>
    <t>Management Discussion &amp; Analysis (MD&amp;A) - Strategic Longitudinal Analysis (FY22 - FY26)</t>
  </si>
  <si>
    <t>Operational Segment / Strategic Pillar</t>
  </si>
  <si>
    <t>Key Discussion Points, Initiatives and Operational Evolution over 5 Years</t>
  </si>
  <si>
    <t>Project LEAP
(FY21-FY25 Strategic Blueprint)</t>
  </si>
  <si>
    <t>• Reached the foundational revenue milestone of ₹200 billion in FY25, a full year ahead of the initially targeted FY26 deadline.
• Successfully implemented pivotal enablers including the merger of Heavy Duty Cables (HDC) and Light Duty Cables (LDC) segments to drive operational and cross-selling synergies.
• Executed a consumer price laddering strategy in the domestic Wires segment to expand affordability and capture wide market segments.
• Realized a substantial expansion of the net cash position from ₹9.6B in FY21 to ₹24.5B in FY25, driving massive balance sheet resilience.</t>
  </si>
  <si>
    <t>Project Spring
(FY26-FY30 Growth Horizon Plan)</t>
  </si>
  <si>
    <t>Wires &amp; Cables (W&amp;C)
(Segment Leadership &amp; Scale)</t>
  </si>
  <si>
    <t>• Retained absolute market leadership in the Indian organized Cable &amp; Wires sector, expanding market share to 30-31% in FY26.
• Leveraged the power, infrastructure, real estate, and public capex upcycle. Primary driver of top-line expansion, surpassing ₹188B in FY25.
• Deployed Automated High Voltage and Continuity Testing machinery at manufacturing sites to ensure global-grade product safety.
• Spearheaded B2C transition through micromarket analytics, shifting the portfolio mix and optimizing distributor margins.</t>
  </si>
  <si>
    <t>FMEG Turnaround Story
(Operational Restructuring)</t>
  </si>
  <si>
    <t>• Restructured operations following execution bottlenecks in FY23 by establishing distinct, product-focused units (merging Fans with Lights, and Retail Wires with Switches).
• Reached a crucial operational break-even in late Q4 FY25, following ten consecutive quarters of losses due to massive initial spends in brand building, distribution, and R&amp;D.
• Maintained 5 consecutive quarters of solid profitability in FY26, supporting bottom-line expansions.
• Guided to grow at 1.5x to 2x the market growth rate under Project Spring, targeting long-term EBITDA margins of 8% to 10%.</t>
  </si>
  <si>
    <t>Backward Integration
(Margin Defensive Moat)</t>
  </si>
  <si>
    <t>• Maintained a high degree of backward integration, capturing captive manufacturing of aluminum and copper rods in-house.
• Serves as an extremely powerful defensive moat that shields operational EBITDA margins from raw material commodity price volatility.
• Supports highly competitive pricing capabilities in domestic tenders and protects margins in large-scale infrastructure and utility projects.</t>
  </si>
  <si>
    <t>ESG (Environmental, Social, &amp; Governance) Performance KPIs Tracking (FY22 - FY26)</t>
  </si>
  <si>
    <t>ESG Key Performance Indicators</t>
  </si>
  <si>
    <t>2030 Target &amp; Direction</t>
  </si>
  <si>
    <t>ENVIRONMENTAL STEWARDSHIP</t>
  </si>
  <si>
    <t xml:space="preserve">  Renewable Electricity Consumed (GJ)</t>
  </si>
  <si>
    <t>Increase Renewable Energy Mix</t>
  </si>
  <si>
    <t xml:space="preserve">  Renewable Share in Total Electricity (%)</t>
  </si>
  <si>
    <t>50.0% by FY30 (On Track)</t>
  </si>
  <si>
    <t xml:space="preserve">  Total Scope 1 Emissions (MTCO2e)</t>
  </si>
  <si>
    <t>Decarbonise Direct Operations</t>
  </si>
  <si>
    <t xml:space="preserve">  Total Scope 2 Emissions (MTCO2e)</t>
  </si>
  <si>
    <t>Reduce Grid Dependency</t>
  </si>
  <si>
    <t xml:space="preserve">  Total Scope 1 &amp; 2 Emissions (MTCO2e)</t>
  </si>
  <si>
    <t>Combined Footprint</t>
  </si>
  <si>
    <t xml:space="preserve">  Scope 1 &amp; 2 Emission Intensity (MTCO2e / H Cr)</t>
  </si>
  <si>
    <t>Target: Significant Reduction (Achieved 15% reduction in FY26)</t>
  </si>
  <si>
    <t xml:space="preserve">  Total Water Consumption (KL)</t>
  </si>
  <si>
    <t>30% Recycled Water usage</t>
  </si>
  <si>
    <t xml:space="preserve">  Total Waste Recycled (MT)</t>
  </si>
  <si>
    <t>Zero Waste to Landfill</t>
  </si>
  <si>
    <t xml:space="preserve">  Inputs Sourced from Sustainable Sources (% by val)</t>
  </si>
  <si>
    <t>100.0% Strategic Supplier assessment</t>
  </si>
  <si>
    <t>SOCIAL &amp; COMMUNITY WELL-BEING</t>
  </si>
  <si>
    <t>Commitment to Local Communities</t>
  </si>
  <si>
    <t xml:space="preserve">  Total Lives Impacted via CSR (Cumulative, Million)</t>
  </si>
  <si>
    <t>Touch 1.0 million lives by 2030</t>
  </si>
  <si>
    <t xml:space="preserve">  Employee &amp; Worker LTIFR (Loss Time Injury Rate)</t>
  </si>
  <si>
    <t>Zero Fatalities and High-Consequence Injuries</t>
  </si>
  <si>
    <t xml:space="preserve">  Women Representation in Senior Leadership (%)</t>
  </si>
  <si>
    <t>Target 11.0% women employees</t>
  </si>
  <si>
    <t>CORPORATE GOVERNANCE</t>
  </si>
  <si>
    <t xml:space="preserve">  Board Independence (%)</t>
  </si>
  <si>
    <t>Strong Independent Board Oversight</t>
  </si>
  <si>
    <t xml:space="preserve">  Committees Led by Independent Directors (%)</t>
  </si>
  <si>
    <t>100.0% Oversight Alignment</t>
  </si>
  <si>
    <t xml:space="preserve">  Shareholder complaints resolved (%)</t>
  </si>
  <si>
    <t>100.0% Redressal (Always Resolved)</t>
  </si>
  <si>
    <t>Generated: August 2026</t>
  </si>
  <si>
    <t>Consolidated Statement of Profit and Loss (FY22 - FY26)</t>
  </si>
  <si>
    <t>Consolidated Balance Sheet (FY22 - FY26)</t>
  </si>
  <si>
    <t>Key Historical Indicators</t>
  </si>
  <si>
    <t>Forensic Auditing Checks and Key Performance Ratios (FY22 - FY26)</t>
  </si>
  <si>
    <t>Notes to Accounts - Key Footnote Linkages to Financial Statements (FY22 - FY26)</t>
  </si>
  <si>
    <t xml:space="preserve">Input Cells </t>
  </si>
  <si>
    <t>Profit before Share and Tax</t>
  </si>
  <si>
    <r>
      <t xml:space="preserve">• Launched as the successor multi-year roadmap focused on capitalizing on the Indian infrastructure upcycle and growing global W&amp;C demand.
• Set clear guided targets: grow core Cables &amp; Wires segment at 1.5x the industry growth rate and maintain EBITDA margins within 11-13%.
• Outlined a robust Capex program of </t>
    </r>
    <r>
      <rPr>
        <b/>
        <sz val="11"/>
        <color rgb="FF000000"/>
        <rFont val="Calibri"/>
        <family val="2"/>
      </rPr>
      <t>₹60-80 billion to support c</t>
    </r>
    <r>
      <rPr>
        <sz val="11"/>
        <color rgb="FF000000"/>
        <rFont val="Calibri"/>
      </rPr>
      <t>apacity expansion, smart manufacturing, and ESG integration.
• Target of exports contributing greater than 10% to total consolidated revenues, transitioning exports from institutional-led to distribution-led.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</si>
</sst>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\x"/>
    <numFmt numFmtId="166" formatCode="\(#,##0.00\)"/>
  </numFmts>
  <fonts count="17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9"/>
      <color rgb="FF595959"/>
      <name val="Calibri"/>
    </font>
    <font>
      <b/>
      <sz val="14"/>
      <color rgb="FF1F4E79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2"/>
      <color rgb="FF1F4E79"/>
      <name val="Calibri"/>
    </font>
    <font>
      <b/>
      <sz val="14"/>
      <name val="Calibri"/>
    </font>
    <font>
      <i/>
      <sz val="11"/>
      <name val="Calibri"/>
    </font>
    <font>
      <b/>
      <sz val="11"/>
      <color rgb="FF1F4E79"/>
      <name val="Calibri"/>
    </font>
    <font>
      <b/>
      <sz val="16"/>
      <color rgb="FF1F497D"/>
      <name val="Calibri"/>
    </font>
    <font>
      <i/>
      <sz val="11"/>
      <color rgb="FF595959"/>
      <name val="Calibri"/>
    </font>
    <font>
      <i/>
      <sz val="10"/>
      <color rgb="FF595959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CE6F1"/>
        <bgColor rgb="FFDCE6F1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D3D3D3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thin">
        <color rgb="FFD3D3D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9" fontId="14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1" xfId="0" applyFont="1" applyBorder="1"/>
    <xf numFmtId="0" fontId="7" fillId="0" borderId="0" xfId="0" applyFont="1"/>
    <xf numFmtId="0" fontId="4" fillId="2" borderId="1" xfId="0" applyFont="1" applyFill="1" applyBorder="1"/>
    <xf numFmtId="0" fontId="5" fillId="3" borderId="1" xfId="0" applyFont="1" applyFill="1" applyBorder="1"/>
    <xf numFmtId="0" fontId="5" fillId="4" borderId="1" xfId="0" applyFont="1" applyFill="1" applyBorder="1"/>
    <xf numFmtId="0" fontId="5" fillId="5" borderId="1" xfId="0" applyFont="1" applyFill="1" applyBorder="1"/>
    <xf numFmtId="0" fontId="4" fillId="2" borderId="4" xfId="0" applyFont="1" applyFill="1" applyBorder="1" applyAlignment="1">
      <alignment horizontal="center" vertical="center"/>
    </xf>
    <xf numFmtId="4" fontId="6" fillId="4" borderId="1" xfId="0" applyNumberFormat="1" applyFont="1" applyFill="1" applyBorder="1"/>
    <xf numFmtId="164" fontId="5" fillId="4" borderId="1" xfId="0" applyNumberFormat="1" applyFont="1" applyFill="1" applyBorder="1"/>
    <xf numFmtId="0" fontId="8" fillId="0" borderId="0" xfId="0" applyFont="1"/>
    <xf numFmtId="0" fontId="9" fillId="0" borderId="0" xfId="0" applyFont="1"/>
    <xf numFmtId="0" fontId="6" fillId="0" borderId="0" xfId="0" applyFont="1" applyAlignment="1">
      <alignment horizontal="left" indent="1"/>
    </xf>
    <xf numFmtId="4" fontId="6" fillId="3" borderId="1" xfId="0" applyNumberFormat="1" applyFont="1" applyFill="1" applyBorder="1" applyAlignment="1">
      <alignment horizontal="right" vertical="center"/>
    </xf>
    <xf numFmtId="0" fontId="5" fillId="0" borderId="0" xfId="0" applyFont="1"/>
    <xf numFmtId="4" fontId="5" fillId="7" borderId="6" xfId="0" applyNumberFormat="1" applyFont="1" applyFill="1" applyBorder="1" applyAlignment="1">
      <alignment horizontal="right" vertical="center"/>
    </xf>
    <xf numFmtId="164" fontId="6" fillId="4" borderId="1" xfId="0" applyNumberFormat="1" applyFont="1" applyFill="1" applyBorder="1" applyAlignment="1">
      <alignment horizontal="right" vertical="center"/>
    </xf>
    <xf numFmtId="4" fontId="4" fillId="2" borderId="7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indent="1"/>
    </xf>
    <xf numFmtId="4" fontId="5" fillId="4" borderId="1" xfId="0" applyNumberFormat="1" applyFont="1" applyFill="1" applyBorder="1" applyAlignment="1">
      <alignment horizontal="right" vertical="center"/>
    </xf>
    <xf numFmtId="4" fontId="6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1" fontId="6" fillId="4" borderId="1" xfId="0" applyNumberFormat="1" applyFont="1" applyFill="1" applyBorder="1" applyAlignment="1">
      <alignment horizontal="right" vertical="center"/>
    </xf>
    <xf numFmtId="2" fontId="6" fillId="4" borderId="1" xfId="0" applyNumberFormat="1" applyFont="1" applyFill="1" applyBorder="1" applyAlignment="1">
      <alignment horizontal="right" vertical="center"/>
    </xf>
    <xf numFmtId="0" fontId="5" fillId="0" borderId="9" xfId="0" applyFont="1" applyBorder="1"/>
    <xf numFmtId="0" fontId="6" fillId="0" borderId="9" xfId="0" applyFont="1" applyBorder="1"/>
    <xf numFmtId="0" fontId="11" fillId="0" borderId="0" xfId="0" applyFont="1"/>
    <xf numFmtId="0" fontId="12" fillId="0" borderId="0" xfId="0" applyFont="1"/>
    <xf numFmtId="0" fontId="4" fillId="8" borderId="0" xfId="0" applyFont="1" applyFill="1" applyAlignment="1">
      <alignment horizontal="left" vertical="center"/>
    </xf>
    <xf numFmtId="0" fontId="4" fillId="8" borderId="0" xfId="0" applyFont="1" applyFill="1" applyAlignment="1">
      <alignment horizontal="center" vertical="center"/>
    </xf>
    <xf numFmtId="0" fontId="4" fillId="6" borderId="0" xfId="0" applyFont="1" applyFill="1"/>
    <xf numFmtId="0" fontId="0" fillId="6" borderId="0" xfId="0" applyFill="1"/>
    <xf numFmtId="0" fontId="6" fillId="0" borderId="0" xfId="0" applyFont="1"/>
    <xf numFmtId="4" fontId="6" fillId="0" borderId="0" xfId="0" applyNumberFormat="1" applyFont="1" applyAlignment="1">
      <alignment horizontal="right" vertical="center"/>
    </xf>
    <xf numFmtId="0" fontId="5" fillId="7" borderId="0" xfId="0" applyFont="1" applyFill="1"/>
    <xf numFmtId="166" fontId="6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0" fontId="5" fillId="9" borderId="9" xfId="0" applyFont="1" applyFill="1" applyBorder="1" applyAlignment="1">
      <alignment horizontal="left" vertical="top" wrapText="1"/>
    </xf>
    <xf numFmtId="0" fontId="6" fillId="9" borderId="9" xfId="0" applyFont="1" applyFill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wrapText="1"/>
    </xf>
    <xf numFmtId="0" fontId="13" fillId="0" borderId="0" xfId="0" applyFont="1" applyAlignment="1">
      <alignment horizontal="left" vertical="center" wrapText="1"/>
    </xf>
    <xf numFmtId="0" fontId="13" fillId="9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4" fillId="8" borderId="0" xfId="0" applyFont="1" applyFill="1" applyAlignment="1">
      <alignment horizontal="left" vertical="center" wrapText="1"/>
    </xf>
    <xf numFmtId="0" fontId="4" fillId="8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6" fillId="0" borderId="0" xfId="0" applyFont="1" applyAlignment="1">
      <alignment wrapText="1"/>
    </xf>
    <xf numFmtId="4" fontId="6" fillId="0" borderId="0" xfId="0" applyNumberFormat="1" applyFont="1" applyAlignment="1">
      <alignment horizontal="right" vertical="center" wrapText="1"/>
    </xf>
    <xf numFmtId="0" fontId="6" fillId="9" borderId="0" xfId="0" applyFont="1" applyFill="1" applyAlignment="1">
      <alignment wrapText="1"/>
    </xf>
    <xf numFmtId="164" fontId="6" fillId="9" borderId="0" xfId="0" applyNumberFormat="1" applyFont="1" applyFill="1" applyAlignment="1">
      <alignment horizontal="right" vertical="center" wrapText="1"/>
    </xf>
    <xf numFmtId="3" fontId="6" fillId="0" borderId="0" xfId="0" applyNumberFormat="1" applyFont="1" applyAlignment="1">
      <alignment horizontal="right" vertical="center" wrapText="1"/>
    </xf>
    <xf numFmtId="3" fontId="6" fillId="9" borderId="0" xfId="0" applyNumberFormat="1" applyFont="1" applyFill="1" applyAlignment="1">
      <alignment horizontal="right" vertical="center" wrapText="1"/>
    </xf>
    <xf numFmtId="0" fontId="5" fillId="0" borderId="0" xfId="0" applyFont="1" applyAlignment="1">
      <alignment wrapText="1"/>
    </xf>
    <xf numFmtId="3" fontId="5" fillId="0" borderId="6" xfId="0" applyNumberFormat="1" applyFont="1" applyBorder="1" applyAlignment="1">
      <alignment horizontal="right" vertical="center" wrapText="1"/>
    </xf>
    <xf numFmtId="4" fontId="6" fillId="9" borderId="0" xfId="0" applyNumberFormat="1" applyFont="1" applyFill="1" applyAlignment="1">
      <alignment horizontal="right" vertical="center" wrapText="1"/>
    </xf>
    <xf numFmtId="164" fontId="6" fillId="0" borderId="0" xfId="0" applyNumberFormat="1" applyFont="1" applyAlignment="1">
      <alignment horizontal="right" vertical="center" wrapText="1"/>
    </xf>
    <xf numFmtId="164" fontId="5" fillId="0" borderId="6" xfId="0" applyNumberFormat="1" applyFont="1" applyBorder="1" applyAlignment="1">
      <alignment horizontal="right" vertical="center" wrapText="1"/>
    </xf>
    <xf numFmtId="9" fontId="0" fillId="0" borderId="0" xfId="1" applyFont="1"/>
    <xf numFmtId="0" fontId="16" fillId="0" borderId="0" xfId="0" applyFont="1" applyAlignment="1">
      <alignment horizontal="left" indent="1"/>
    </xf>
    <xf numFmtId="4" fontId="16" fillId="0" borderId="1" xfId="0" applyNumberFormat="1" applyFont="1" applyBorder="1" applyAlignment="1">
      <alignment horizontal="right" vertical="center"/>
    </xf>
    <xf numFmtId="10" fontId="0" fillId="0" borderId="0" xfId="1" applyNumberFormat="1" applyFont="1" applyFill="1"/>
    <xf numFmtId="9" fontId="0" fillId="0" borderId="0" xfId="1" applyFont="1" applyFill="1"/>
    <xf numFmtId="10" fontId="6" fillId="4" borderId="1" xfId="0" applyNumberFormat="1" applyFont="1" applyFill="1" applyBorder="1" applyAlignment="1">
      <alignment horizontal="right" vertical="center"/>
    </xf>
    <xf numFmtId="0" fontId="15" fillId="0" borderId="0" xfId="0" applyFont="1"/>
    <xf numFmtId="0" fontId="16" fillId="0" borderId="9" xfId="0" applyFont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2" borderId="0" xfId="0" applyFont="1" applyFill="1"/>
    <xf numFmtId="0" fontId="6" fillId="0" borderId="1" xfId="0" applyFont="1" applyBorder="1"/>
    <xf numFmtId="0" fontId="0" fillId="0" borderId="2" xfId="0" applyBorder="1"/>
    <xf numFmtId="0" fontId="0" fillId="0" borderId="3" xfId="0" applyBorder="1"/>
    <xf numFmtId="0" fontId="4" fillId="6" borderId="5" xfId="0" applyFont="1" applyFill="1" applyBorder="1"/>
    <xf numFmtId="0" fontId="0" fillId="0" borderId="8" xfId="0" applyBorder="1"/>
    <xf numFmtId="0" fontId="10" fillId="7" borderId="5" xfId="0" applyFont="1" applyFill="1" applyBorder="1"/>
    <xf numFmtId="0" fontId="5" fillId="0" borderId="5" xfId="0" applyFont="1" applyBorder="1"/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4"/>
  <sheetViews>
    <sheetView tabSelected="1" workbookViewId="0">
      <selection activeCell="A4" sqref="A4"/>
    </sheetView>
  </sheetViews>
  <sheetFormatPr defaultRowHeight="15" x14ac:dyDescent="0.25"/>
  <cols>
    <col min="1" max="1" width="46" customWidth="1"/>
    <col min="2" max="2" width="92" customWidth="1"/>
    <col min="3" max="8" width="14" customWidth="1"/>
  </cols>
  <sheetData>
    <row r="2" spans="1:8" x14ac:dyDescent="0.25">
      <c r="A2" s="72" t="s">
        <v>0</v>
      </c>
      <c r="B2" s="73"/>
      <c r="C2" s="73"/>
      <c r="D2" s="73"/>
      <c r="E2" s="73"/>
      <c r="F2" s="73"/>
      <c r="G2" s="73"/>
      <c r="H2" s="73"/>
    </row>
    <row r="3" spans="1:8" x14ac:dyDescent="0.25">
      <c r="A3" s="73"/>
      <c r="B3" s="73"/>
      <c r="C3" s="73"/>
      <c r="D3" s="73"/>
      <c r="E3" s="73"/>
      <c r="F3" s="73"/>
      <c r="G3" s="73"/>
      <c r="H3" s="73"/>
    </row>
    <row r="5" spans="1:8" x14ac:dyDescent="0.25">
      <c r="A5" s="1" t="s">
        <v>219</v>
      </c>
    </row>
    <row r="7" spans="1:8" ht="18.75" x14ac:dyDescent="0.3">
      <c r="A7" s="2" t="s">
        <v>1</v>
      </c>
    </row>
    <row r="9" spans="1:8" x14ac:dyDescent="0.25">
      <c r="A9" s="3" t="s">
        <v>2</v>
      </c>
      <c r="B9" s="74" t="s">
        <v>3</v>
      </c>
      <c r="C9" s="73"/>
      <c r="D9" s="73"/>
      <c r="E9" s="73"/>
    </row>
    <row r="10" spans="1:8" x14ac:dyDescent="0.25">
      <c r="A10" s="4" t="s">
        <v>4</v>
      </c>
      <c r="B10" s="75" t="s">
        <v>5</v>
      </c>
      <c r="C10" s="76"/>
      <c r="D10" s="76"/>
      <c r="E10" s="77"/>
    </row>
    <row r="11" spans="1:8" x14ac:dyDescent="0.25">
      <c r="A11" s="4" t="s">
        <v>6</v>
      </c>
      <c r="B11" s="75" t="s">
        <v>7</v>
      </c>
      <c r="C11" s="76"/>
      <c r="D11" s="76"/>
      <c r="E11" s="77"/>
    </row>
    <row r="12" spans="1:8" x14ac:dyDescent="0.25">
      <c r="A12" s="4" t="s">
        <v>8</v>
      </c>
      <c r="B12" s="75" t="s">
        <v>9</v>
      </c>
      <c r="C12" s="76"/>
      <c r="D12" s="76"/>
      <c r="E12" s="77"/>
    </row>
    <row r="13" spans="1:8" x14ac:dyDescent="0.25">
      <c r="A13" s="4" t="s">
        <v>10</v>
      </c>
      <c r="B13" s="75" t="s">
        <v>11</v>
      </c>
      <c r="C13" s="76"/>
      <c r="D13" s="76"/>
      <c r="E13" s="77"/>
    </row>
    <row r="14" spans="1:8" x14ac:dyDescent="0.25">
      <c r="A14" s="27" t="s">
        <v>12</v>
      </c>
      <c r="B14" s="28" t="s">
        <v>13</v>
      </c>
    </row>
    <row r="15" spans="1:8" x14ac:dyDescent="0.25">
      <c r="A15" s="27" t="s">
        <v>14</v>
      </c>
      <c r="B15" s="28" t="s">
        <v>15</v>
      </c>
    </row>
    <row r="16" spans="1:8" x14ac:dyDescent="0.25">
      <c r="A16" s="27" t="s">
        <v>16</v>
      </c>
      <c r="B16" s="28" t="s">
        <v>17</v>
      </c>
    </row>
    <row r="17" spans="1:4" x14ac:dyDescent="0.25">
      <c r="A17" s="3" t="s">
        <v>18</v>
      </c>
      <c r="B17" s="74" t="s">
        <v>19</v>
      </c>
      <c r="C17" s="73"/>
      <c r="D17" s="73"/>
    </row>
    <row r="18" spans="1:4" x14ac:dyDescent="0.25">
      <c r="A18" s="6" t="s">
        <v>20</v>
      </c>
      <c r="B18" s="75" t="s">
        <v>21</v>
      </c>
      <c r="C18" s="76"/>
      <c r="D18" s="77"/>
    </row>
    <row r="19" spans="1:4" x14ac:dyDescent="0.25">
      <c r="A19" s="7" t="s">
        <v>22</v>
      </c>
      <c r="B19" s="75" t="s">
        <v>225</v>
      </c>
      <c r="C19" s="76"/>
      <c r="D19" s="77"/>
    </row>
    <row r="20" spans="1:4" x14ac:dyDescent="0.25">
      <c r="A20" s="8" t="s">
        <v>23</v>
      </c>
      <c r="B20" s="75" t="s">
        <v>24</v>
      </c>
      <c r="C20" s="76"/>
      <c r="D20" s="77"/>
    </row>
    <row r="21" spans="1:4" x14ac:dyDescent="0.25">
      <c r="A21" s="9" t="s">
        <v>25</v>
      </c>
      <c r="B21" s="75" t="s">
        <v>26</v>
      </c>
      <c r="C21" s="76"/>
      <c r="D21" s="77"/>
    </row>
    <row r="24" spans="1:4" ht="15.75" x14ac:dyDescent="0.25">
      <c r="A24" s="5"/>
    </row>
  </sheetData>
  <mergeCells count="11">
    <mergeCell ref="A2:H3"/>
    <mergeCell ref="B17:D17"/>
    <mergeCell ref="B18:D18"/>
    <mergeCell ref="B11:E11"/>
    <mergeCell ref="B21:D21"/>
    <mergeCell ref="B10:E10"/>
    <mergeCell ref="B20:D20"/>
    <mergeCell ref="B9:E9"/>
    <mergeCell ref="B19:D19"/>
    <mergeCell ref="B12:E12"/>
    <mergeCell ref="B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4"/>
  <sheetViews>
    <sheetView workbookViewId="0">
      <selection activeCell="A3" sqref="A3"/>
    </sheetView>
  </sheetViews>
  <sheetFormatPr defaultRowHeight="15" x14ac:dyDescent="0.25"/>
  <cols>
    <col min="1" max="1" width="46" customWidth="1"/>
    <col min="2" max="6" width="14" customWidth="1"/>
    <col min="7" max="7" width="11.5703125" bestFit="1" customWidth="1"/>
    <col min="8" max="8" width="10" bestFit="1" customWidth="1"/>
  </cols>
  <sheetData>
    <row r="1" spans="1:8" ht="18.75" x14ac:dyDescent="0.3">
      <c r="A1" s="13" t="s">
        <v>39</v>
      </c>
    </row>
    <row r="2" spans="1:8" x14ac:dyDescent="0.25">
      <c r="A2" s="14" t="s">
        <v>220</v>
      </c>
    </row>
    <row r="4" spans="1:8" x14ac:dyDescent="0.25">
      <c r="A4" s="10" t="s">
        <v>40</v>
      </c>
      <c r="B4" s="10" t="s">
        <v>28</v>
      </c>
      <c r="C4" s="10" t="s">
        <v>29</v>
      </c>
      <c r="D4" s="10" t="s">
        <v>30</v>
      </c>
      <c r="E4" s="10" t="s">
        <v>31</v>
      </c>
      <c r="F4" s="10" t="s">
        <v>32</v>
      </c>
    </row>
    <row r="5" spans="1:8" x14ac:dyDescent="0.25">
      <c r="A5" s="78" t="s">
        <v>41</v>
      </c>
      <c r="B5" s="79"/>
      <c r="C5" s="79"/>
      <c r="D5" s="79"/>
      <c r="E5" s="79"/>
      <c r="F5" s="79"/>
    </row>
    <row r="6" spans="1:8" x14ac:dyDescent="0.25">
      <c r="A6" s="65" t="s">
        <v>42</v>
      </c>
      <c r="B6" s="66">
        <v>122037.61</v>
      </c>
      <c r="C6" s="66">
        <v>141077.78</v>
      </c>
      <c r="D6" s="66">
        <v>180394.44</v>
      </c>
      <c r="E6" s="66">
        <v>224083.13</v>
      </c>
      <c r="F6" s="66">
        <v>288837.92</v>
      </c>
      <c r="G6" s="67"/>
      <c r="H6" s="68"/>
    </row>
    <row r="7" spans="1:8" x14ac:dyDescent="0.25">
      <c r="A7" s="15" t="s">
        <v>43</v>
      </c>
      <c r="B7" s="16">
        <v>899.23</v>
      </c>
      <c r="C7" s="16">
        <v>1333.26</v>
      </c>
      <c r="D7" s="16">
        <v>2208.75</v>
      </c>
      <c r="E7" s="16">
        <v>2076.36</v>
      </c>
      <c r="F7" s="16">
        <v>2362.52</v>
      </c>
      <c r="G7" s="64"/>
      <c r="H7" s="64"/>
    </row>
    <row r="8" spans="1:8" x14ac:dyDescent="0.25">
      <c r="A8" s="17" t="s">
        <v>44</v>
      </c>
      <c r="B8" s="18">
        <f>SUM(B6:B7)</f>
        <v>122936.84</v>
      </c>
      <c r="C8" s="18">
        <f>SUM(C6:C7)</f>
        <v>142411.04</v>
      </c>
      <c r="D8" s="18">
        <f>SUM(D6:D7)</f>
        <v>182603.19</v>
      </c>
      <c r="E8" s="18">
        <f>SUM(E6:E7)</f>
        <v>226159.49</v>
      </c>
      <c r="F8" s="18">
        <f>SUM(F6:F7)</f>
        <v>291200.44</v>
      </c>
      <c r="G8" s="64"/>
      <c r="H8" s="64"/>
    </row>
    <row r="9" spans="1:8" ht="12" customHeight="1" x14ac:dyDescent="0.25">
      <c r="G9" s="64"/>
    </row>
    <row r="10" spans="1:8" x14ac:dyDescent="0.25">
      <c r="A10" s="78" t="s">
        <v>45</v>
      </c>
      <c r="B10" s="79"/>
      <c r="C10" s="79"/>
      <c r="D10" s="79"/>
      <c r="E10" s="79"/>
      <c r="F10" s="79"/>
      <c r="G10" s="64"/>
    </row>
    <row r="11" spans="1:8" x14ac:dyDescent="0.25">
      <c r="A11" s="15" t="s">
        <v>46</v>
      </c>
      <c r="B11" s="16">
        <v>92042.53</v>
      </c>
      <c r="C11" s="16">
        <v>97711.55</v>
      </c>
      <c r="D11" s="16">
        <v>126615.96</v>
      </c>
      <c r="E11" s="16">
        <v>154173.73000000001</v>
      </c>
      <c r="F11" s="16">
        <v>206156.67</v>
      </c>
      <c r="G11" s="64"/>
      <c r="H11" s="64"/>
    </row>
    <row r="12" spans="1:8" x14ac:dyDescent="0.25">
      <c r="A12" s="15" t="s">
        <v>47</v>
      </c>
      <c r="B12" s="16">
        <v>6427.02</v>
      </c>
      <c r="C12" s="16">
        <v>5699.12</v>
      </c>
      <c r="D12" s="16">
        <v>5658.67</v>
      </c>
      <c r="E12" s="16">
        <v>6076.37</v>
      </c>
      <c r="F12" s="16">
        <v>7314.54</v>
      </c>
      <c r="G12" s="64"/>
      <c r="H12" s="64"/>
    </row>
    <row r="13" spans="1:8" x14ac:dyDescent="0.25">
      <c r="A13" s="15" t="s">
        <v>48</v>
      </c>
      <c r="B13" s="16">
        <v>-4927.51</v>
      </c>
      <c r="C13" s="16">
        <v>346.76</v>
      </c>
      <c r="D13" s="16">
        <v>-4215.09</v>
      </c>
      <c r="E13" s="16">
        <v>-4518.6400000000003</v>
      </c>
      <c r="F13" s="16">
        <v>-7601.62</v>
      </c>
      <c r="G13" s="64"/>
      <c r="H13" s="64"/>
    </row>
    <row r="14" spans="1:8" x14ac:dyDescent="0.25">
      <c r="A14" s="15" t="s">
        <v>49</v>
      </c>
      <c r="B14" s="16">
        <v>1114.72</v>
      </c>
      <c r="C14" s="16">
        <v>1351.53</v>
      </c>
      <c r="D14" s="16">
        <v>4743.47</v>
      </c>
      <c r="E14" s="16">
        <v>12568.87</v>
      </c>
      <c r="F14" s="16">
        <v>9946.3799999999992</v>
      </c>
      <c r="G14" s="64"/>
      <c r="H14" s="64"/>
    </row>
    <row r="15" spans="1:8" x14ac:dyDescent="0.25">
      <c r="A15" s="15" t="s">
        <v>50</v>
      </c>
      <c r="B15" s="16">
        <v>4066.28</v>
      </c>
      <c r="C15" s="16">
        <v>4567.72</v>
      </c>
      <c r="D15" s="16">
        <v>6095.42</v>
      </c>
      <c r="E15" s="16">
        <v>7367.26</v>
      </c>
      <c r="F15" s="16">
        <v>8794.24</v>
      </c>
      <c r="G15" s="64"/>
      <c r="H15" s="64"/>
    </row>
    <row r="16" spans="1:8" x14ac:dyDescent="0.25">
      <c r="A16" s="15" t="s">
        <v>51</v>
      </c>
      <c r="B16" s="16">
        <v>351.9</v>
      </c>
      <c r="C16" s="16">
        <v>597.57000000000005</v>
      </c>
      <c r="D16" s="16">
        <v>1083.4000000000001</v>
      </c>
      <c r="E16" s="16">
        <v>1689.28</v>
      </c>
      <c r="F16" s="16">
        <v>2430.36</v>
      </c>
      <c r="G16" s="64"/>
      <c r="H16" s="64"/>
    </row>
    <row r="17" spans="1:8" x14ac:dyDescent="0.25">
      <c r="A17" s="15" t="s">
        <v>52</v>
      </c>
      <c r="B17" s="16">
        <v>2015.19</v>
      </c>
      <c r="C17" s="16">
        <v>2091.64</v>
      </c>
      <c r="D17" s="16">
        <v>2450.4</v>
      </c>
      <c r="E17" s="16">
        <v>2981.03</v>
      </c>
      <c r="F17" s="16">
        <v>3858.69</v>
      </c>
      <c r="G17" s="64"/>
      <c r="H17" s="64"/>
    </row>
    <row r="18" spans="1:8" x14ac:dyDescent="0.25">
      <c r="A18" s="15" t="s">
        <v>53</v>
      </c>
      <c r="B18" s="16">
        <v>10662.58</v>
      </c>
      <c r="C18" s="16">
        <v>12879.96</v>
      </c>
      <c r="D18" s="16">
        <v>16577.96</v>
      </c>
      <c r="E18" s="16">
        <v>18813.14</v>
      </c>
      <c r="F18" s="16">
        <v>24170.43</v>
      </c>
      <c r="G18" s="64"/>
      <c r="H18" s="64"/>
    </row>
    <row r="19" spans="1:8" x14ac:dyDescent="0.25">
      <c r="A19" s="17" t="s">
        <v>54</v>
      </c>
      <c r="B19" s="18">
        <f>SUM(B11:B18)</f>
        <v>111752.71</v>
      </c>
      <c r="C19" s="18">
        <f>SUM(C11:C18)</f>
        <v>125245.85</v>
      </c>
      <c r="D19" s="18">
        <f>SUM(D11:D18)</f>
        <v>159010.19</v>
      </c>
      <c r="E19" s="18">
        <f>SUM(E11:E18)</f>
        <v>199151.03999999998</v>
      </c>
      <c r="F19" s="18">
        <f>SUM(F11:F18)</f>
        <v>255069.69</v>
      </c>
      <c r="G19" s="64"/>
      <c r="H19" s="64"/>
    </row>
    <row r="20" spans="1:8" ht="12" customHeight="1" x14ac:dyDescent="0.25">
      <c r="G20" s="64"/>
    </row>
    <row r="21" spans="1:8" x14ac:dyDescent="0.25">
      <c r="A21" s="17" t="s">
        <v>55</v>
      </c>
      <c r="B21" s="18">
        <f>B6-B11-B12-B13-B14-B15-B18</f>
        <v>12651.99</v>
      </c>
      <c r="C21" s="18">
        <f>C6-C11-C12-C13-C14-C15-C18</f>
        <v>18521.139999999992</v>
      </c>
      <c r="D21" s="18">
        <f>D6-D11-D12-D13-D14-D15-D18</f>
        <v>24918.049999999996</v>
      </c>
      <c r="E21" s="18">
        <f>E6-E11-E12-E13-E14-E15-E18</f>
        <v>29602.399999999994</v>
      </c>
      <c r="F21" s="18">
        <f>F6-F11-F12-F13-F14-F15-F18</f>
        <v>40057.27999999997</v>
      </c>
      <c r="G21" s="64"/>
    </row>
    <row r="22" spans="1:8" x14ac:dyDescent="0.25">
      <c r="A22" s="15" t="s">
        <v>56</v>
      </c>
      <c r="B22" s="69">
        <f>B21/B6</f>
        <v>0.10367287592734731</v>
      </c>
      <c r="C22" s="69">
        <f>C21/C6</f>
        <v>0.13128318293639149</v>
      </c>
      <c r="D22" s="69">
        <f>D21/D6</f>
        <v>0.13813092022126622</v>
      </c>
      <c r="E22" s="69">
        <f>E21/E6</f>
        <v>0.13210454530869858</v>
      </c>
      <c r="F22" s="69">
        <f>F21/F6</f>
        <v>0.1386842835594439</v>
      </c>
      <c r="G22" s="64"/>
    </row>
    <row r="23" spans="1:8" x14ac:dyDescent="0.25">
      <c r="A23" s="17" t="s">
        <v>57</v>
      </c>
      <c r="B23" s="18">
        <f>B21-B17</f>
        <v>10636.8</v>
      </c>
      <c r="C23" s="18">
        <f>C21-C17</f>
        <v>16429.499999999993</v>
      </c>
      <c r="D23" s="18">
        <f>D21-D17</f>
        <v>22467.649999999994</v>
      </c>
      <c r="E23" s="18">
        <f>E21-E17</f>
        <v>26621.369999999995</v>
      </c>
      <c r="F23" s="18">
        <f>F21-F17</f>
        <v>36198.589999999967</v>
      </c>
      <c r="G23" s="64"/>
    </row>
    <row r="24" spans="1:8" x14ac:dyDescent="0.25">
      <c r="A24" s="15" t="s">
        <v>58</v>
      </c>
      <c r="B24" s="69">
        <f>B23/B6</f>
        <v>8.7160015670578919E-2</v>
      </c>
      <c r="C24" s="69">
        <f>C23/C6</f>
        <v>0.11645703526097442</v>
      </c>
      <c r="D24" s="69">
        <f>D23/D6</f>
        <v>0.12454735301154511</v>
      </c>
      <c r="E24" s="69">
        <f>E23/E6</f>
        <v>0.11880131270926104</v>
      </c>
      <c r="F24" s="69">
        <f>F23/F6</f>
        <v>0.12532492271097911</v>
      </c>
      <c r="G24" s="64"/>
    </row>
    <row r="25" spans="1:8" ht="12" customHeight="1" x14ac:dyDescent="0.25">
      <c r="G25" s="64"/>
    </row>
    <row r="26" spans="1:8" x14ac:dyDescent="0.25">
      <c r="A26" s="70" t="s">
        <v>226</v>
      </c>
      <c r="B26" s="18">
        <f>B23+B7-B16</f>
        <v>11184.13</v>
      </c>
      <c r="C26" s="18">
        <f>C23+C7-C16</f>
        <v>17165.189999999991</v>
      </c>
      <c r="D26" s="18">
        <f>D23+D7-D16</f>
        <v>23592.999999999993</v>
      </c>
      <c r="E26" s="18">
        <f>E23+E7-E16</f>
        <v>27008.449999999997</v>
      </c>
      <c r="F26" s="18">
        <f>F23+F7-F16</f>
        <v>36130.749999999964</v>
      </c>
      <c r="G26" s="64"/>
    </row>
    <row r="27" spans="1:8" x14ac:dyDescent="0.25">
      <c r="A27" s="15" t="s">
        <v>59</v>
      </c>
      <c r="B27" s="16">
        <v>-25.55</v>
      </c>
      <c r="C27" s="16">
        <v>-92.63</v>
      </c>
      <c r="D27" s="16">
        <v>0</v>
      </c>
      <c r="E27" s="16">
        <v>0</v>
      </c>
      <c r="F27" s="16">
        <v>0</v>
      </c>
      <c r="G27" s="64"/>
    </row>
    <row r="28" spans="1:8" x14ac:dyDescent="0.25">
      <c r="A28" s="17" t="s">
        <v>60</v>
      </c>
      <c r="B28" s="18">
        <f>B26+B27</f>
        <v>11158.58</v>
      </c>
      <c r="C28" s="18">
        <f>C26+C27</f>
        <v>17072.55999999999</v>
      </c>
      <c r="D28" s="18">
        <f>D26+D27</f>
        <v>23592.999999999993</v>
      </c>
      <c r="E28" s="18">
        <f>E26+E27</f>
        <v>27008.449999999997</v>
      </c>
      <c r="F28" s="18">
        <f>F26+F27</f>
        <v>36130.749999999964</v>
      </c>
      <c r="G28" s="64"/>
    </row>
    <row r="29" spans="1:8" x14ac:dyDescent="0.25">
      <c r="A29" s="78" t="s">
        <v>61</v>
      </c>
      <c r="B29" s="79"/>
      <c r="C29" s="79"/>
      <c r="D29" s="79"/>
      <c r="E29" s="79"/>
      <c r="F29" s="79"/>
      <c r="G29" s="64"/>
    </row>
    <row r="30" spans="1:8" x14ac:dyDescent="0.25">
      <c r="A30" s="15" t="s">
        <v>62</v>
      </c>
      <c r="B30" s="16">
        <v>2809.27</v>
      </c>
      <c r="C30" s="16">
        <v>4060.5</v>
      </c>
      <c r="D30" s="16">
        <v>5535.25</v>
      </c>
      <c r="E30" s="16">
        <v>6154.98</v>
      </c>
      <c r="F30" s="16">
        <v>9390.58</v>
      </c>
      <c r="G30" s="64"/>
    </row>
    <row r="31" spans="1:8" x14ac:dyDescent="0.25">
      <c r="A31" s="15" t="s">
        <v>63</v>
      </c>
      <c r="B31" s="16">
        <v>-103</v>
      </c>
      <c r="C31" s="16">
        <v>181.2</v>
      </c>
      <c r="D31" s="16">
        <v>28.58</v>
      </c>
      <c r="E31" s="16">
        <v>398.1</v>
      </c>
      <c r="F31" s="16">
        <v>-344.1</v>
      </c>
      <c r="G31" s="64"/>
    </row>
    <row r="32" spans="1:8" x14ac:dyDescent="0.25">
      <c r="A32" s="17" t="s">
        <v>64</v>
      </c>
      <c r="B32" s="18">
        <f>SUM(B30:B31)</f>
        <v>2706.27</v>
      </c>
      <c r="C32" s="18">
        <f>SUM(C30:C31)</f>
        <v>4241.7</v>
      </c>
      <c r="D32" s="18">
        <f>SUM(D30:D31)</f>
        <v>5563.83</v>
      </c>
      <c r="E32" s="18">
        <f>SUM(E30:E31)</f>
        <v>6553.08</v>
      </c>
      <c r="F32" s="18">
        <f>SUM(F30:F31)</f>
        <v>9046.48</v>
      </c>
      <c r="G32" s="64"/>
    </row>
    <row r="33" spans="1:8" ht="12" customHeight="1" x14ac:dyDescent="0.25">
      <c r="G33" s="64"/>
    </row>
    <row r="34" spans="1:8" x14ac:dyDescent="0.25">
      <c r="A34" s="17" t="s">
        <v>37</v>
      </c>
      <c r="B34" s="20">
        <f>B28-B32</f>
        <v>8452.31</v>
      </c>
      <c r="C34" s="20">
        <f>C28-C32</f>
        <v>12830.85999999999</v>
      </c>
      <c r="D34" s="20">
        <f>D28-D32</f>
        <v>18029.169999999991</v>
      </c>
      <c r="E34" s="20">
        <f>E28-E32</f>
        <v>20455.369999999995</v>
      </c>
      <c r="F34" s="20">
        <f>F28-F32</f>
        <v>27084.269999999964</v>
      </c>
      <c r="G34" s="64"/>
    </row>
    <row r="35" spans="1:8" x14ac:dyDescent="0.25">
      <c r="A35" s="15" t="s">
        <v>65</v>
      </c>
      <c r="B35" s="69">
        <f>B34/B6</f>
        <v>6.9259878163789007E-2</v>
      </c>
      <c r="C35" s="69">
        <f>C34/C6</f>
        <v>9.0948836875658162E-2</v>
      </c>
      <c r="D35" s="69">
        <f>D34/D6</f>
        <v>9.9943047025174342E-2</v>
      </c>
      <c r="E35" s="69">
        <f>E34/E6</f>
        <v>9.1284738837769691E-2</v>
      </c>
      <c r="F35" s="69">
        <f>F34/F6</f>
        <v>9.3769786183199089E-2</v>
      </c>
      <c r="G35" s="64"/>
    </row>
    <row r="39" spans="1:8" ht="16.5" thickBot="1" x14ac:dyDescent="0.3">
      <c r="A39" s="5" t="s">
        <v>222</v>
      </c>
    </row>
    <row r="40" spans="1:8" ht="15.75" thickBot="1" x14ac:dyDescent="0.3">
      <c r="A40" s="10" t="s">
        <v>27</v>
      </c>
      <c r="B40" s="10" t="s">
        <v>28</v>
      </c>
      <c r="C40" s="10" t="s">
        <v>29</v>
      </c>
      <c r="D40" s="10" t="s">
        <v>30</v>
      </c>
      <c r="E40" s="10" t="s">
        <v>31</v>
      </c>
      <c r="F40" s="10" t="s">
        <v>32</v>
      </c>
      <c r="G40" s="10" t="s">
        <v>33</v>
      </c>
      <c r="H40" s="10" t="s">
        <v>34</v>
      </c>
    </row>
    <row r="41" spans="1:8" x14ac:dyDescent="0.25">
      <c r="A41" s="4" t="s">
        <v>35</v>
      </c>
      <c r="B41" s="11">
        <f>'Income Statement'!B6</f>
        <v>122037.61</v>
      </c>
      <c r="C41" s="11">
        <f>'Income Statement'!C6</f>
        <v>141077.78</v>
      </c>
      <c r="D41" s="11">
        <f>'Income Statement'!D6</f>
        <v>180394.44</v>
      </c>
      <c r="E41" s="11">
        <f>'Income Statement'!E6</f>
        <v>224083.13</v>
      </c>
      <c r="F41" s="11">
        <f>'Income Statement'!F6</f>
        <v>288837.92</v>
      </c>
      <c r="G41" s="12">
        <f>(F41-E41)/E41</f>
        <v>0.28897664005318019</v>
      </c>
      <c r="H41" s="12">
        <f>(F41/B41)^(1/4)-1</f>
        <v>0.24033822696627904</v>
      </c>
    </row>
    <row r="42" spans="1:8" x14ac:dyDescent="0.25">
      <c r="A42" s="4" t="s">
        <v>36</v>
      </c>
      <c r="B42" s="11">
        <f>'Income Statement'!B21</f>
        <v>12651.99</v>
      </c>
      <c r="C42" s="11">
        <f>'Income Statement'!C21</f>
        <v>18521.139999999992</v>
      </c>
      <c r="D42" s="11">
        <f>'Income Statement'!D21</f>
        <v>24918.049999999996</v>
      </c>
      <c r="E42" s="11">
        <f>'Income Statement'!E21</f>
        <v>29602.399999999994</v>
      </c>
      <c r="F42" s="11">
        <f>'Income Statement'!F21</f>
        <v>40057.27999999997</v>
      </c>
      <c r="G42" s="12">
        <f>(F42-E42)/E42</f>
        <v>0.35317676945112481</v>
      </c>
      <c r="H42" s="12">
        <f>(F42/B42)^(1/4)-1</f>
        <v>0.33392267184604751</v>
      </c>
    </row>
    <row r="43" spans="1:8" x14ac:dyDescent="0.25">
      <c r="A43" s="4" t="s">
        <v>37</v>
      </c>
      <c r="B43" s="11">
        <f>'Income Statement'!B34</f>
        <v>8452.31</v>
      </c>
      <c r="C43" s="11">
        <f>'Income Statement'!C34</f>
        <v>12830.85999999999</v>
      </c>
      <c r="D43" s="11">
        <f>'Income Statement'!D34</f>
        <v>18029.169999999991</v>
      </c>
      <c r="E43" s="11">
        <f>'Income Statement'!E34</f>
        <v>20455.369999999995</v>
      </c>
      <c r="F43" s="11">
        <f>'Income Statement'!F34</f>
        <v>27084.269999999964</v>
      </c>
      <c r="G43" s="12">
        <f>(F43-E43)/E43</f>
        <v>0.32406649207518468</v>
      </c>
      <c r="H43" s="12">
        <f>(F43/B43)^(1/4)-1</f>
        <v>0.33793627690735017</v>
      </c>
    </row>
    <row r="44" spans="1:8" x14ac:dyDescent="0.25">
      <c r="A44" s="4" t="s">
        <v>38</v>
      </c>
      <c r="B44" s="11">
        <f>'Balance Sheet'!B38</f>
        <v>55437.41</v>
      </c>
      <c r="C44" s="11">
        <f>'Balance Sheet'!C38</f>
        <v>66311.37</v>
      </c>
      <c r="D44" s="11">
        <f>'Balance Sheet'!D38</f>
        <v>81871.34</v>
      </c>
      <c r="E44" s="11">
        <f>'Balance Sheet'!E38</f>
        <v>98280.549999999988</v>
      </c>
      <c r="F44" s="11">
        <f>'Balance Sheet'!F38</f>
        <v>120085.75999999999</v>
      </c>
      <c r="G44" s="12">
        <f>(F44-E44)/E44</f>
        <v>0.22186699199383814</v>
      </c>
      <c r="H44" s="12">
        <f>(F44/B44)^(1/4)-1</f>
        <v>0.21317134766265555</v>
      </c>
    </row>
  </sheetData>
  <mergeCells count="3">
    <mergeCell ref="A5:F5"/>
    <mergeCell ref="A29:F29"/>
    <mergeCell ref="A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3"/>
  <sheetViews>
    <sheetView workbookViewId="0">
      <selection activeCell="A3" sqref="A3"/>
    </sheetView>
  </sheetViews>
  <sheetFormatPr defaultRowHeight="15" x14ac:dyDescent="0.25"/>
  <cols>
    <col min="1" max="1" width="48.85546875" bestFit="1" customWidth="1"/>
    <col min="2" max="6" width="14" customWidth="1"/>
  </cols>
  <sheetData>
    <row r="1" spans="1:6" ht="18.75" x14ac:dyDescent="0.3">
      <c r="A1" s="13" t="s">
        <v>39</v>
      </c>
    </row>
    <row r="2" spans="1:6" x14ac:dyDescent="0.25">
      <c r="A2" s="14" t="s">
        <v>221</v>
      </c>
    </row>
    <row r="4" spans="1:6" x14ac:dyDescent="0.25">
      <c r="A4" s="10" t="s">
        <v>40</v>
      </c>
      <c r="B4" s="10" t="s">
        <v>28</v>
      </c>
      <c r="C4" s="10" t="s">
        <v>29</v>
      </c>
      <c r="D4" s="10" t="s">
        <v>30</v>
      </c>
      <c r="E4" s="10" t="s">
        <v>31</v>
      </c>
      <c r="F4" s="10" t="s">
        <v>32</v>
      </c>
    </row>
    <row r="5" spans="1:6" x14ac:dyDescent="0.25">
      <c r="A5" s="78" t="s">
        <v>66</v>
      </c>
      <c r="B5" s="79"/>
      <c r="C5" s="79"/>
      <c r="D5" s="79"/>
      <c r="E5" s="79"/>
      <c r="F5" s="79"/>
    </row>
    <row r="6" spans="1:6" x14ac:dyDescent="0.25">
      <c r="A6" s="80" t="s">
        <v>67</v>
      </c>
      <c r="B6" s="79"/>
      <c r="C6" s="79"/>
      <c r="D6" s="79"/>
      <c r="E6" s="79"/>
      <c r="F6" s="79"/>
    </row>
    <row r="7" spans="1:6" x14ac:dyDescent="0.25">
      <c r="A7" s="15" t="s">
        <v>68</v>
      </c>
      <c r="B7" s="16">
        <v>16170.25</v>
      </c>
      <c r="C7" s="16">
        <v>20104.28</v>
      </c>
      <c r="D7" s="16">
        <v>21677.57</v>
      </c>
      <c r="E7" s="16">
        <v>27913.26</v>
      </c>
      <c r="F7" s="16">
        <v>35050.71</v>
      </c>
    </row>
    <row r="8" spans="1:6" x14ac:dyDescent="0.25">
      <c r="A8" s="15" t="s">
        <v>69</v>
      </c>
      <c r="B8" s="16">
        <v>3754.5</v>
      </c>
      <c r="C8" s="16">
        <v>2507.67</v>
      </c>
      <c r="D8" s="16">
        <v>5784.46</v>
      </c>
      <c r="E8" s="16">
        <v>7081.44</v>
      </c>
      <c r="F8" s="16">
        <v>11392.59</v>
      </c>
    </row>
    <row r="9" spans="1:6" x14ac:dyDescent="0.25">
      <c r="A9" s="15" t="s">
        <v>70</v>
      </c>
      <c r="B9" s="16">
        <v>0</v>
      </c>
      <c r="C9" s="16">
        <v>0</v>
      </c>
      <c r="D9" s="16">
        <v>762.98</v>
      </c>
      <c r="E9" s="16">
        <v>790.08</v>
      </c>
      <c r="F9" s="16">
        <v>883.02</v>
      </c>
    </row>
    <row r="10" spans="1:6" x14ac:dyDescent="0.25">
      <c r="A10" s="15" t="s">
        <v>71</v>
      </c>
      <c r="B10" s="16">
        <v>351.36</v>
      </c>
      <c r="C10" s="16">
        <v>361.82</v>
      </c>
      <c r="D10" s="16">
        <v>728.26</v>
      </c>
      <c r="E10" s="16">
        <v>1309.71</v>
      </c>
      <c r="F10" s="16">
        <v>1426.27</v>
      </c>
    </row>
    <row r="11" spans="1:6" x14ac:dyDescent="0.25">
      <c r="A11" s="15" t="s">
        <v>72</v>
      </c>
      <c r="B11" s="16">
        <v>46.22</v>
      </c>
      <c r="C11" s="16">
        <v>46.22</v>
      </c>
      <c r="D11" s="16">
        <v>46.22</v>
      </c>
      <c r="E11" s="16">
        <v>0</v>
      </c>
      <c r="F11" s="16">
        <v>0</v>
      </c>
    </row>
    <row r="12" spans="1:6" x14ac:dyDescent="0.25">
      <c r="A12" s="15" t="s">
        <v>73</v>
      </c>
      <c r="B12" s="16">
        <v>183.4</v>
      </c>
      <c r="C12" s="16">
        <v>157.08000000000001</v>
      </c>
      <c r="D12" s="16">
        <v>160.16999999999999</v>
      </c>
      <c r="E12" s="16">
        <v>98.45</v>
      </c>
      <c r="F12" s="16">
        <v>40.97</v>
      </c>
    </row>
    <row r="13" spans="1:6" x14ac:dyDescent="0.25">
      <c r="A13" s="15" t="s">
        <v>74</v>
      </c>
      <c r="B13" s="16">
        <v>92.63</v>
      </c>
      <c r="C13" s="16">
        <v>0</v>
      </c>
      <c r="D13" s="16">
        <v>0</v>
      </c>
      <c r="E13" s="16">
        <v>0</v>
      </c>
      <c r="F13" s="16">
        <v>0</v>
      </c>
    </row>
    <row r="14" spans="1:6" x14ac:dyDescent="0.25">
      <c r="A14" s="15" t="s">
        <v>75</v>
      </c>
      <c r="B14" s="16">
        <v>799.31</v>
      </c>
      <c r="C14" s="16">
        <v>526.37</v>
      </c>
      <c r="D14" s="16">
        <v>1190.7</v>
      </c>
      <c r="E14" s="16">
        <v>2994.38</v>
      </c>
      <c r="F14" s="16">
        <v>4477.84</v>
      </c>
    </row>
    <row r="15" spans="1:6" x14ac:dyDescent="0.25">
      <c r="A15" s="15" t="s">
        <v>76</v>
      </c>
      <c r="B15" s="16">
        <v>166.52</v>
      </c>
      <c r="C15" s="16">
        <v>70.400000000000006</v>
      </c>
      <c r="D15" s="16">
        <v>311.33999999999997</v>
      </c>
      <c r="E15" s="16">
        <v>712.41</v>
      </c>
      <c r="F15" s="16">
        <v>571.94000000000005</v>
      </c>
    </row>
    <row r="16" spans="1:6" x14ac:dyDescent="0.25">
      <c r="A16" s="15" t="s">
        <v>77</v>
      </c>
      <c r="B16" s="16">
        <v>479.46</v>
      </c>
      <c r="C16" s="16">
        <v>251.89</v>
      </c>
      <c r="D16" s="16">
        <v>297.08</v>
      </c>
      <c r="E16" s="16">
        <v>503.73</v>
      </c>
      <c r="F16" s="16">
        <v>558.74</v>
      </c>
    </row>
    <row r="17" spans="1:6" x14ac:dyDescent="0.25">
      <c r="A17" s="15" t="s">
        <v>78</v>
      </c>
      <c r="B17" s="16">
        <v>0.09</v>
      </c>
      <c r="C17" s="16">
        <v>13.45</v>
      </c>
      <c r="D17" s="16">
        <v>128.69</v>
      </c>
      <c r="E17" s="16">
        <v>270.7</v>
      </c>
      <c r="F17" s="16">
        <v>116.02</v>
      </c>
    </row>
    <row r="18" spans="1:6" x14ac:dyDescent="0.25">
      <c r="A18" s="15" t="s">
        <v>79</v>
      </c>
      <c r="B18" s="16">
        <v>663.96</v>
      </c>
      <c r="C18" s="16">
        <v>1128.0899999999999</v>
      </c>
      <c r="D18" s="16">
        <v>2561.7600000000002</v>
      </c>
      <c r="E18" s="16">
        <v>2893.54</v>
      </c>
      <c r="F18" s="16">
        <v>3638.74</v>
      </c>
    </row>
    <row r="19" spans="1:6" x14ac:dyDescent="0.25">
      <c r="A19" s="21" t="s">
        <v>80</v>
      </c>
      <c r="B19" s="18">
        <f>SUM(B7:B18)</f>
        <v>22707.700000000004</v>
      </c>
      <c r="C19" s="18">
        <f>SUM(C7:C18)</f>
        <v>25167.27</v>
      </c>
      <c r="D19" s="18">
        <f>SUM(D7:D18)</f>
        <v>33649.229999999996</v>
      </c>
      <c r="E19" s="18">
        <f>SUM(E7:E18)</f>
        <v>44567.7</v>
      </c>
      <c r="F19" s="18">
        <f>SUM(F7:F18)</f>
        <v>58156.839999999989</v>
      </c>
    </row>
    <row r="20" spans="1:6" ht="12" customHeight="1" x14ac:dyDescent="0.25"/>
    <row r="21" spans="1:6" x14ac:dyDescent="0.25">
      <c r="A21" s="80" t="s">
        <v>81</v>
      </c>
      <c r="B21" s="79"/>
      <c r="C21" s="79"/>
      <c r="D21" s="79"/>
      <c r="E21" s="79"/>
      <c r="F21" s="79"/>
    </row>
    <row r="22" spans="1:6" x14ac:dyDescent="0.25">
      <c r="A22" s="15" t="s">
        <v>82</v>
      </c>
      <c r="B22" s="16">
        <v>21996.47</v>
      </c>
      <c r="C22" s="16">
        <v>29513.84</v>
      </c>
      <c r="D22" s="16">
        <v>36751.14</v>
      </c>
      <c r="E22" s="16">
        <v>36613</v>
      </c>
      <c r="F22" s="16">
        <v>55595.98</v>
      </c>
    </row>
    <row r="23" spans="1:6" x14ac:dyDescent="0.25">
      <c r="A23" s="15" t="s">
        <v>83</v>
      </c>
      <c r="B23" s="16">
        <v>7640.51</v>
      </c>
      <c r="C23" s="16">
        <v>13504.95</v>
      </c>
      <c r="D23" s="16">
        <v>18224.169999999998</v>
      </c>
      <c r="E23" s="16">
        <v>17490.419999999998</v>
      </c>
      <c r="F23" s="16">
        <v>34048.230000000003</v>
      </c>
    </row>
    <row r="24" spans="1:6" x14ac:dyDescent="0.25">
      <c r="A24" s="15" t="s">
        <v>84</v>
      </c>
      <c r="B24" s="16">
        <v>12963.94</v>
      </c>
      <c r="C24" s="16">
        <v>12465.96</v>
      </c>
      <c r="D24" s="16">
        <v>20471.169999999998</v>
      </c>
      <c r="E24" s="16">
        <v>25962.68</v>
      </c>
      <c r="F24" s="16">
        <v>37585.040000000001</v>
      </c>
    </row>
    <row r="25" spans="1:6" x14ac:dyDescent="0.25">
      <c r="A25" s="15" t="s">
        <v>85</v>
      </c>
      <c r="B25" s="16">
        <v>1216.9100000000001</v>
      </c>
      <c r="C25" s="16">
        <v>1527.52</v>
      </c>
      <c r="D25" s="16">
        <v>3070.31</v>
      </c>
      <c r="E25" s="16">
        <v>2173.87</v>
      </c>
      <c r="F25" s="16">
        <v>3903.43</v>
      </c>
    </row>
    <row r="26" spans="1:6" x14ac:dyDescent="0.25">
      <c r="A26" s="15" t="s">
        <v>86</v>
      </c>
      <c r="B26" s="16">
        <v>2854.27</v>
      </c>
      <c r="C26" s="16">
        <v>5424.91</v>
      </c>
      <c r="D26" s="16">
        <v>953.27</v>
      </c>
      <c r="E26" s="16">
        <v>5532.49</v>
      </c>
      <c r="F26" s="16">
        <v>4921.2700000000004</v>
      </c>
    </row>
    <row r="27" spans="1:6" x14ac:dyDescent="0.25">
      <c r="A27" s="15" t="s">
        <v>87</v>
      </c>
      <c r="B27" s="16">
        <v>126.8</v>
      </c>
      <c r="C27" s="16">
        <v>103.47</v>
      </c>
      <c r="D27" s="16">
        <v>106.26</v>
      </c>
      <c r="E27" s="16">
        <v>111</v>
      </c>
      <c r="F27" s="16">
        <v>112.31</v>
      </c>
    </row>
    <row r="28" spans="1:6" x14ac:dyDescent="0.25">
      <c r="A28" s="15" t="s">
        <v>88</v>
      </c>
      <c r="B28" s="16">
        <v>259.37</v>
      </c>
      <c r="C28" s="16">
        <v>295.91000000000003</v>
      </c>
      <c r="D28" s="16">
        <v>335.52</v>
      </c>
      <c r="E28" s="16">
        <v>1147.49</v>
      </c>
      <c r="F28" s="16">
        <v>2632.57</v>
      </c>
    </row>
    <row r="29" spans="1:6" x14ac:dyDescent="0.25">
      <c r="A29" s="15" t="s">
        <v>89</v>
      </c>
      <c r="B29" s="16">
        <v>4188.67</v>
      </c>
      <c r="C29" s="16">
        <v>6250.93</v>
      </c>
      <c r="D29" s="16">
        <v>7227.77</v>
      </c>
      <c r="E29" s="16">
        <v>4159.01</v>
      </c>
      <c r="F29" s="16">
        <v>7780.05</v>
      </c>
    </row>
    <row r="30" spans="1:6" x14ac:dyDescent="0.25">
      <c r="A30" s="21" t="s">
        <v>90</v>
      </c>
      <c r="B30" s="18">
        <f>SUM(B22:B29)</f>
        <v>51246.94000000001</v>
      </c>
      <c r="C30" s="18">
        <f>SUM(C22:C29)</f>
        <v>69087.489999999991</v>
      </c>
      <c r="D30" s="18">
        <f>SUM(D22:D29)</f>
        <v>87139.61</v>
      </c>
      <c r="E30" s="18">
        <f>SUM(E22:E29)</f>
        <v>93189.96</v>
      </c>
      <c r="F30" s="18">
        <f>SUM(F22:F29)</f>
        <v>146578.87999999998</v>
      </c>
    </row>
    <row r="31" spans="1:6" x14ac:dyDescent="0.25">
      <c r="A31" s="15" t="s">
        <v>91</v>
      </c>
      <c r="B31" s="16">
        <v>0</v>
      </c>
      <c r="C31" s="16">
        <v>0</v>
      </c>
      <c r="D31" s="16">
        <v>0</v>
      </c>
      <c r="E31" s="16">
        <v>0</v>
      </c>
      <c r="F31" s="16">
        <v>26.18</v>
      </c>
    </row>
    <row r="32" spans="1:6" x14ac:dyDescent="0.25">
      <c r="A32" s="21" t="s">
        <v>92</v>
      </c>
      <c r="B32" s="20">
        <f>B19+B30+B31</f>
        <v>73954.640000000014</v>
      </c>
      <c r="C32" s="20">
        <f>C19+C30+C31</f>
        <v>94254.76</v>
      </c>
      <c r="D32" s="20">
        <f>D19+D30+D31</f>
        <v>120788.84</v>
      </c>
      <c r="E32" s="20">
        <f>E19+E30+E31</f>
        <v>137757.66</v>
      </c>
      <c r="F32" s="20">
        <f>F19+F30+F31</f>
        <v>204761.89999999997</v>
      </c>
    </row>
    <row r="33" spans="1:6" ht="12" customHeight="1" x14ac:dyDescent="0.25"/>
    <row r="34" spans="1:6" x14ac:dyDescent="0.25">
      <c r="A34" s="78" t="s">
        <v>93</v>
      </c>
      <c r="B34" s="79"/>
      <c r="C34" s="79"/>
      <c r="D34" s="79"/>
      <c r="E34" s="79"/>
      <c r="F34" s="79"/>
    </row>
    <row r="35" spans="1:6" x14ac:dyDescent="0.25">
      <c r="A35" s="80" t="s">
        <v>94</v>
      </c>
      <c r="B35" s="79"/>
      <c r="C35" s="79"/>
      <c r="D35" s="79"/>
      <c r="E35" s="79"/>
      <c r="F35" s="79"/>
    </row>
    <row r="36" spans="1:6" x14ac:dyDescent="0.25">
      <c r="A36" s="15" t="s">
        <v>95</v>
      </c>
      <c r="B36" s="16">
        <v>1494.43</v>
      </c>
      <c r="C36" s="16">
        <v>1497.65</v>
      </c>
      <c r="D36" s="16">
        <v>1502.36</v>
      </c>
      <c r="E36" s="16">
        <v>1504.26</v>
      </c>
      <c r="F36" s="16">
        <v>1505.51</v>
      </c>
    </row>
    <row r="37" spans="1:6" x14ac:dyDescent="0.25">
      <c r="A37" s="15" t="s">
        <v>96</v>
      </c>
      <c r="B37" s="16">
        <v>53942.98</v>
      </c>
      <c r="C37" s="16">
        <v>64813.72</v>
      </c>
      <c r="D37" s="16">
        <v>80368.98</v>
      </c>
      <c r="E37" s="16">
        <v>96776.29</v>
      </c>
      <c r="F37" s="16">
        <v>118580.25</v>
      </c>
    </row>
    <row r="38" spans="1:6" x14ac:dyDescent="0.25">
      <c r="A38" s="21" t="s">
        <v>97</v>
      </c>
      <c r="B38" s="18">
        <f>SUM(B36:B37)</f>
        <v>55437.41</v>
      </c>
      <c r="C38" s="18">
        <f>SUM(C36:C37)</f>
        <v>66311.37</v>
      </c>
      <c r="D38" s="18">
        <f>SUM(D36:D37)</f>
        <v>81871.34</v>
      </c>
      <c r="E38" s="18">
        <f>SUM(E36:E37)</f>
        <v>98280.549999999988</v>
      </c>
      <c r="F38" s="18">
        <f>SUM(F36:F37)</f>
        <v>120085.75999999999</v>
      </c>
    </row>
    <row r="39" spans="1:6" x14ac:dyDescent="0.25">
      <c r="A39" s="15" t="s">
        <v>98</v>
      </c>
      <c r="B39" s="16">
        <v>254.56</v>
      </c>
      <c r="C39" s="16">
        <v>373.77</v>
      </c>
      <c r="D39" s="16">
        <v>562.07000000000005</v>
      </c>
      <c r="E39" s="16">
        <v>817.69</v>
      </c>
      <c r="F39" s="16">
        <v>1181.93</v>
      </c>
    </row>
    <row r="40" spans="1:6" x14ac:dyDescent="0.25">
      <c r="A40" s="21" t="s">
        <v>99</v>
      </c>
      <c r="B40" s="18">
        <f>B38+B39</f>
        <v>55691.97</v>
      </c>
      <c r="C40" s="18">
        <f>C38+C39</f>
        <v>66685.14</v>
      </c>
      <c r="D40" s="18">
        <f>D38+D39</f>
        <v>82433.41</v>
      </c>
      <c r="E40" s="18">
        <f>E38+E39</f>
        <v>99098.239999999991</v>
      </c>
      <c r="F40" s="18">
        <f>F38+F39</f>
        <v>121267.68999999999</v>
      </c>
    </row>
    <row r="41" spans="1:6" ht="12" customHeight="1" x14ac:dyDescent="0.25"/>
    <row r="42" spans="1:6" x14ac:dyDescent="0.25">
      <c r="A42" s="80" t="s">
        <v>100</v>
      </c>
      <c r="B42" s="79"/>
      <c r="C42" s="79"/>
      <c r="D42" s="79"/>
      <c r="E42" s="79"/>
      <c r="F42" s="79"/>
    </row>
    <row r="43" spans="1:6" x14ac:dyDescent="0.25">
      <c r="A43" s="15" t="s">
        <v>101</v>
      </c>
      <c r="B43" s="16">
        <v>0</v>
      </c>
      <c r="C43" s="16">
        <v>68.510000000000005</v>
      </c>
      <c r="D43" s="16">
        <v>226.04</v>
      </c>
      <c r="E43" s="16">
        <v>419.4</v>
      </c>
      <c r="F43" s="16">
        <v>392.67</v>
      </c>
    </row>
    <row r="44" spans="1:6" x14ac:dyDescent="0.25">
      <c r="A44" s="15" t="s">
        <v>102</v>
      </c>
      <c r="B44" s="16">
        <v>0</v>
      </c>
      <c r="C44" s="16">
        <v>224.33</v>
      </c>
      <c r="D44" s="16">
        <v>244.96</v>
      </c>
      <c r="E44" s="16">
        <v>709.34</v>
      </c>
      <c r="F44" s="16">
        <v>803.72</v>
      </c>
    </row>
    <row r="45" spans="1:6" x14ac:dyDescent="0.25">
      <c r="A45" s="15" t="s">
        <v>103</v>
      </c>
      <c r="B45" s="16">
        <v>0</v>
      </c>
      <c r="C45" s="16">
        <v>0</v>
      </c>
      <c r="D45" s="16">
        <v>537.66</v>
      </c>
      <c r="E45" s="16">
        <v>105.03</v>
      </c>
      <c r="F45" s="16">
        <v>51.7</v>
      </c>
    </row>
    <row r="46" spans="1:6" x14ac:dyDescent="0.25">
      <c r="A46" s="15" t="s">
        <v>104</v>
      </c>
      <c r="B46" s="16">
        <v>250.33</v>
      </c>
      <c r="C46" s="16">
        <v>438.77</v>
      </c>
      <c r="D46" s="16">
        <v>438.77</v>
      </c>
      <c r="E46" s="16">
        <v>413.15</v>
      </c>
      <c r="F46" s="16">
        <v>563.98</v>
      </c>
    </row>
    <row r="47" spans="1:6" x14ac:dyDescent="0.25">
      <c r="A47" s="15" t="s">
        <v>105</v>
      </c>
      <c r="B47" s="16">
        <v>240.6</v>
      </c>
      <c r="C47" s="16">
        <v>422.68</v>
      </c>
      <c r="D47" s="16">
        <v>543.71</v>
      </c>
      <c r="E47" s="16">
        <v>1025.03</v>
      </c>
      <c r="F47" s="16">
        <v>524.05999999999995</v>
      </c>
    </row>
    <row r="48" spans="1:6" x14ac:dyDescent="0.25">
      <c r="A48" s="15" t="s">
        <v>106</v>
      </c>
      <c r="B48" s="16">
        <v>0</v>
      </c>
      <c r="C48" s="16">
        <v>165.18</v>
      </c>
      <c r="D48" s="16">
        <v>422.86</v>
      </c>
      <c r="E48" s="16">
        <v>886.01</v>
      </c>
      <c r="F48" s="16">
        <v>1505.64</v>
      </c>
    </row>
    <row r="49" spans="1:6" x14ac:dyDescent="0.25">
      <c r="A49" s="21" t="s">
        <v>107</v>
      </c>
      <c r="B49" s="18">
        <f>SUM(B43:B48)</f>
        <v>490.93</v>
      </c>
      <c r="C49" s="18">
        <f>SUM(C43:C48)</f>
        <v>1319.47</v>
      </c>
      <c r="D49" s="18">
        <f>SUM(D43:D48)</f>
        <v>2414</v>
      </c>
      <c r="E49" s="18">
        <f>SUM(E43:E48)</f>
        <v>3557.96</v>
      </c>
      <c r="F49" s="18">
        <f>SUM(F43:F48)</f>
        <v>3841.7700000000004</v>
      </c>
    </row>
    <row r="50" spans="1:6" ht="12" customHeight="1" x14ac:dyDescent="0.25"/>
    <row r="51" spans="1:6" x14ac:dyDescent="0.25">
      <c r="A51" s="80" t="s">
        <v>108</v>
      </c>
      <c r="B51" s="79"/>
      <c r="C51" s="79"/>
      <c r="D51" s="79"/>
      <c r="E51" s="79"/>
      <c r="F51" s="79"/>
    </row>
    <row r="52" spans="1:6" x14ac:dyDescent="0.25">
      <c r="A52" s="15" t="s">
        <v>109</v>
      </c>
      <c r="B52" s="16">
        <v>821.25</v>
      </c>
      <c r="C52" s="16">
        <v>1509.35</v>
      </c>
      <c r="D52" s="16">
        <v>671.7</v>
      </c>
      <c r="E52" s="16">
        <v>670.64</v>
      </c>
      <c r="F52" s="16">
        <v>932.23</v>
      </c>
    </row>
    <row r="53" spans="1:6" x14ac:dyDescent="0.25">
      <c r="A53" s="15" t="s">
        <v>110</v>
      </c>
      <c r="B53" s="16">
        <v>103.34</v>
      </c>
      <c r="C53" s="16">
        <v>138.96</v>
      </c>
      <c r="D53" s="16">
        <v>468.23</v>
      </c>
      <c r="E53" s="16">
        <v>224.99</v>
      </c>
      <c r="F53" s="16">
        <v>226.55</v>
      </c>
    </row>
    <row r="54" spans="1:6" x14ac:dyDescent="0.25">
      <c r="A54" s="15" t="s">
        <v>111</v>
      </c>
      <c r="B54" s="16">
        <v>12257.56</v>
      </c>
      <c r="C54" s="16">
        <v>12257.56</v>
      </c>
      <c r="D54" s="16">
        <v>18619.66</v>
      </c>
      <c r="E54" s="16">
        <v>13062.37</v>
      </c>
      <c r="F54" s="16">
        <v>42656.19</v>
      </c>
    </row>
    <row r="55" spans="1:6" x14ac:dyDescent="0.25">
      <c r="A55" s="15" t="s">
        <v>112</v>
      </c>
      <c r="B55" s="16">
        <v>519.01</v>
      </c>
      <c r="C55" s="16">
        <v>519.01</v>
      </c>
      <c r="D55" s="16">
        <v>748.27</v>
      </c>
      <c r="E55" s="16">
        <v>1503.85</v>
      </c>
      <c r="F55" s="16">
        <v>1635.35</v>
      </c>
    </row>
    <row r="56" spans="1:6" x14ac:dyDescent="0.25">
      <c r="A56" s="15" t="s">
        <v>113</v>
      </c>
      <c r="B56" s="16">
        <v>6891.48</v>
      </c>
      <c r="C56" s="16">
        <v>7097.9</v>
      </c>
      <c r="D56" s="16">
        <v>8984.11</v>
      </c>
      <c r="E56" s="16">
        <v>12791.34</v>
      </c>
      <c r="F56" s="16">
        <v>16352.79</v>
      </c>
    </row>
    <row r="57" spans="1:6" x14ac:dyDescent="0.25">
      <c r="A57" s="15" t="s">
        <v>114</v>
      </c>
      <c r="B57" s="16">
        <v>50.4</v>
      </c>
      <c r="C57" s="16">
        <v>163.49</v>
      </c>
      <c r="D57" s="16">
        <v>2420.84</v>
      </c>
      <c r="E57" s="16">
        <v>2988.22</v>
      </c>
      <c r="F57" s="16">
        <v>2864.77</v>
      </c>
    </row>
    <row r="58" spans="1:6" x14ac:dyDescent="0.25">
      <c r="A58" s="15" t="s">
        <v>115</v>
      </c>
      <c r="B58" s="16">
        <v>1218.83</v>
      </c>
      <c r="C58" s="16">
        <v>1150.32</v>
      </c>
      <c r="D58" s="16">
        <v>3145.03</v>
      </c>
      <c r="E58" s="16">
        <v>3075.51</v>
      </c>
      <c r="F58" s="16">
        <v>12871.06</v>
      </c>
    </row>
    <row r="59" spans="1:6" x14ac:dyDescent="0.25">
      <c r="A59" s="15" t="s">
        <v>116</v>
      </c>
      <c r="B59" s="16">
        <v>0</v>
      </c>
      <c r="C59" s="16">
        <v>267.57</v>
      </c>
      <c r="D59" s="16">
        <v>314.45999999999998</v>
      </c>
      <c r="E59" s="16">
        <v>628.95000000000005</v>
      </c>
      <c r="F59" s="16">
        <v>1341.95</v>
      </c>
    </row>
    <row r="60" spans="1:6" x14ac:dyDescent="0.25">
      <c r="A60" s="15" t="s">
        <v>117</v>
      </c>
      <c r="B60" s="16">
        <v>216.83</v>
      </c>
      <c r="C60" s="16">
        <v>288.17</v>
      </c>
      <c r="D60" s="16">
        <v>125.44</v>
      </c>
      <c r="E60" s="16">
        <v>155.59</v>
      </c>
      <c r="F60" s="16">
        <v>771.55</v>
      </c>
    </row>
    <row r="61" spans="1:6" x14ac:dyDescent="0.25">
      <c r="A61" s="21" t="s">
        <v>118</v>
      </c>
      <c r="B61" s="18">
        <f>SUM(B52:B60)</f>
        <v>22078.700000000004</v>
      </c>
      <c r="C61" s="18">
        <f>SUM(C52:C60)</f>
        <v>23392.329999999998</v>
      </c>
      <c r="D61" s="18">
        <f>SUM(D52:D60)</f>
        <v>35497.740000000005</v>
      </c>
      <c r="E61" s="18">
        <f>SUM(E52:E60)</f>
        <v>35101.46</v>
      </c>
      <c r="F61" s="18">
        <f>SUM(F52:F60)</f>
        <v>79652.44</v>
      </c>
    </row>
    <row r="62" spans="1:6" x14ac:dyDescent="0.25">
      <c r="A62" s="21" t="s">
        <v>119</v>
      </c>
      <c r="B62" s="20">
        <f>B40+B49+B61</f>
        <v>78261.600000000006</v>
      </c>
      <c r="C62" s="20">
        <f>C40+C49+C61</f>
        <v>91396.94</v>
      </c>
      <c r="D62" s="20">
        <f>D40+D49+D61</f>
        <v>120345.15000000001</v>
      </c>
      <c r="E62" s="20">
        <f>E40+E49+E61</f>
        <v>137757.66</v>
      </c>
      <c r="F62" s="20">
        <f>F40+F49+F61</f>
        <v>204761.9</v>
      </c>
    </row>
    <row r="63" spans="1:6" x14ac:dyDescent="0.25">
      <c r="A63" s="17" t="s">
        <v>120</v>
      </c>
      <c r="B63" s="22">
        <f>B32-B62</f>
        <v>-4306.9599999999919</v>
      </c>
      <c r="C63" s="22">
        <f>C32-C62</f>
        <v>2857.8199999999924</v>
      </c>
      <c r="D63" s="22">
        <f>D32-D62</f>
        <v>443.68999999998778</v>
      </c>
      <c r="E63" s="22">
        <f>E32-E62</f>
        <v>0</v>
      </c>
      <c r="F63" s="22">
        <f>F32-F62</f>
        <v>0</v>
      </c>
    </row>
  </sheetData>
  <mergeCells count="7">
    <mergeCell ref="A51:F51"/>
    <mergeCell ref="A42:F42"/>
    <mergeCell ref="A5:F5"/>
    <mergeCell ref="A6:F6"/>
    <mergeCell ref="A34:F34"/>
    <mergeCell ref="A35:F35"/>
    <mergeCell ref="A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5"/>
  <sheetViews>
    <sheetView workbookViewId="0">
      <selection activeCell="A2" sqref="A2"/>
    </sheetView>
  </sheetViews>
  <sheetFormatPr defaultRowHeight="15" x14ac:dyDescent="0.25"/>
  <cols>
    <col min="1" max="1" width="46" customWidth="1"/>
    <col min="2" max="6" width="14" customWidth="1"/>
  </cols>
  <sheetData>
    <row r="1" spans="1:6" ht="18.75" x14ac:dyDescent="0.3">
      <c r="A1" s="13" t="s">
        <v>39</v>
      </c>
    </row>
    <row r="2" spans="1:6" x14ac:dyDescent="0.25">
      <c r="A2" s="14" t="s">
        <v>223</v>
      </c>
    </row>
    <row r="4" spans="1:6" x14ac:dyDescent="0.25">
      <c r="A4" s="10" t="s">
        <v>40</v>
      </c>
      <c r="B4" s="10" t="s">
        <v>28</v>
      </c>
      <c r="C4" s="10" t="s">
        <v>29</v>
      </c>
      <c r="D4" s="10" t="s">
        <v>30</v>
      </c>
      <c r="E4" s="10" t="s">
        <v>31</v>
      </c>
      <c r="F4" s="10" t="s">
        <v>32</v>
      </c>
    </row>
    <row r="5" spans="1:6" x14ac:dyDescent="0.25">
      <c r="A5" s="78" t="s">
        <v>121</v>
      </c>
      <c r="B5" s="79"/>
      <c r="C5" s="79"/>
      <c r="D5" s="79"/>
      <c r="E5" s="79"/>
      <c r="F5" s="79"/>
    </row>
    <row r="6" spans="1:6" x14ac:dyDescent="0.25">
      <c r="A6" s="81" t="s">
        <v>122</v>
      </c>
      <c r="B6" s="79"/>
      <c r="C6" s="79"/>
      <c r="D6" s="79"/>
      <c r="E6" s="79"/>
      <c r="F6" s="79"/>
    </row>
    <row r="7" spans="1:6" x14ac:dyDescent="0.25">
      <c r="A7" s="15" t="s">
        <v>123</v>
      </c>
      <c r="B7" s="16">
        <v>5116.1099999999997</v>
      </c>
      <c r="C7" s="16">
        <v>14275.21</v>
      </c>
      <c r="D7" s="16">
        <v>12962.4</v>
      </c>
      <c r="E7" s="16">
        <v>18097.89</v>
      </c>
      <c r="F7" s="16">
        <v>21151.040000000001</v>
      </c>
    </row>
    <row r="8" spans="1:6" x14ac:dyDescent="0.25">
      <c r="A8" s="15" t="s">
        <v>37</v>
      </c>
      <c r="B8" s="23">
        <f>'Income Statement'!B34</f>
        <v>8452.31</v>
      </c>
      <c r="C8" s="23">
        <f>'Income Statement'!C34</f>
        <v>12830.85999999999</v>
      </c>
      <c r="D8" s="23">
        <f>'Income Statement'!D34</f>
        <v>18029.169999999991</v>
      </c>
      <c r="E8" s="23">
        <f>'Income Statement'!E34</f>
        <v>20455.369999999995</v>
      </c>
      <c r="F8" s="23">
        <f>'Income Statement'!F34</f>
        <v>27084.269999999964</v>
      </c>
    </row>
    <row r="9" spans="1:6" x14ac:dyDescent="0.25">
      <c r="A9" s="21" t="s">
        <v>124</v>
      </c>
      <c r="B9" s="24">
        <f>B7/B8</f>
        <v>0.60529133455824502</v>
      </c>
      <c r="C9" s="24">
        <f>C7/C8</f>
        <v>1.1125684482567817</v>
      </c>
      <c r="D9" s="24">
        <f>D7/D8</f>
        <v>0.71896820541378259</v>
      </c>
      <c r="E9" s="24">
        <f>E7/E8</f>
        <v>0.88475006807503376</v>
      </c>
      <c r="F9" s="24">
        <f>F7/F8</f>
        <v>0.78093446860484073</v>
      </c>
    </row>
    <row r="10" spans="1:6" ht="60" x14ac:dyDescent="0.25">
      <c r="A10" s="45" t="s">
        <v>125</v>
      </c>
      <c r="B10" s="44" t="str">
        <f>IF(B9&lt;0.8,"WARNING: Weak Cash Generation","PASS: Strong Cash Backing")</f>
        <v>WARNING: Weak Cash Generation</v>
      </c>
      <c r="C10" s="44" t="str">
        <f>IF(C9&lt;0.8,"WARNING: Weak Cash Generation","PASS: Strong Cash Backing")</f>
        <v>PASS: Strong Cash Backing</v>
      </c>
      <c r="D10" s="44" t="str">
        <f>IF(D9&lt;0.8,"WARNING: Weak Cash Generation","PASS: Strong Cash Backing")</f>
        <v>WARNING: Weak Cash Generation</v>
      </c>
      <c r="E10" s="44" t="str">
        <f>IF(E9&lt;0.8,"WARNING: Weak Cash Generation","PASS: Strong Cash Backing")</f>
        <v>PASS: Strong Cash Backing</v>
      </c>
      <c r="F10" s="44" t="str">
        <f>IF(F9&lt;0.8,"WARNING: Weak Cash Generation","PASS: Strong Cash Backing")</f>
        <v>WARNING: Weak Cash Generation</v>
      </c>
    </row>
    <row r="11" spans="1:6" ht="12" customHeight="1" x14ac:dyDescent="0.25"/>
    <row r="12" spans="1:6" x14ac:dyDescent="0.25">
      <c r="A12" s="81" t="s">
        <v>126</v>
      </c>
      <c r="B12" s="79"/>
      <c r="C12" s="79"/>
      <c r="D12" s="79"/>
      <c r="E12" s="79"/>
      <c r="F12" s="79"/>
    </row>
    <row r="13" spans="1:6" x14ac:dyDescent="0.25">
      <c r="A13" s="15" t="s">
        <v>127</v>
      </c>
      <c r="B13" s="19">
        <f>IFERROR(('Income Statement'!B6-'Income Statement'!B6)/'Income Statement'!B6, 0)</f>
        <v>0</v>
      </c>
      <c r="C13" s="19">
        <f>IFERROR(('Income Statement'!C6-'Income Statement'!B6)/'Income Statement'!B6, 0)</f>
        <v>0.15601886992051056</v>
      </c>
      <c r="D13" s="19">
        <f>IFERROR(('Income Statement'!D6-'Income Statement'!C6)/'Income Statement'!C6, 0)</f>
        <v>0.27868782738146292</v>
      </c>
      <c r="E13" s="19">
        <f>IFERROR(('Income Statement'!E6-'Income Statement'!D6)/'Income Statement'!D6, 0)</f>
        <v>0.24218423805079581</v>
      </c>
      <c r="F13" s="19">
        <f>IFERROR(('Income Statement'!F6-'Income Statement'!E6)/'Income Statement'!E6, 0)</f>
        <v>0.28897664005318019</v>
      </c>
    </row>
    <row r="14" spans="1:6" x14ac:dyDescent="0.25">
      <c r="A14" s="15" t="s">
        <v>128</v>
      </c>
      <c r="B14" s="23">
        <f>'Balance Sheet'!B14+'Balance Sheet'!B24</f>
        <v>13763.25</v>
      </c>
      <c r="C14" s="23">
        <f>'Balance Sheet'!C14+'Balance Sheet'!C24</f>
        <v>12992.33</v>
      </c>
      <c r="D14" s="23">
        <f>'Balance Sheet'!D14+'Balance Sheet'!D24</f>
        <v>21661.87</v>
      </c>
      <c r="E14" s="23">
        <f>'Balance Sheet'!E14+'Balance Sheet'!E24</f>
        <v>28957.06</v>
      </c>
      <c r="F14" s="23">
        <f>'Balance Sheet'!F14+'Balance Sheet'!F24</f>
        <v>42062.880000000005</v>
      </c>
    </row>
    <row r="15" spans="1:6" x14ac:dyDescent="0.25">
      <c r="A15" s="15" t="s">
        <v>129</v>
      </c>
      <c r="B15" s="19">
        <f>IFERROR((B14-B14)/B14, 0)</f>
        <v>0</v>
      </c>
      <c r="C15" s="19">
        <f>IFERROR((C14-B14)/B14, 0)</f>
        <v>-5.6012932991844226E-2</v>
      </c>
      <c r="D15" s="19">
        <f>IFERROR((D14-C14)/C14, 0)</f>
        <v>0.66728138832680506</v>
      </c>
      <c r="E15" s="19">
        <f>IFERROR((E14-D14)/D14, 0)</f>
        <v>0.33677563386725168</v>
      </c>
      <c r="F15" s="19">
        <f>IFERROR((F14-E14)/E14, 0)</f>
        <v>0.45259498029150758</v>
      </c>
    </row>
    <row r="16" spans="1:6" x14ac:dyDescent="0.25">
      <c r="A16" s="15" t="s">
        <v>130</v>
      </c>
      <c r="B16" s="25">
        <f>IFERROR((B14/'Income Statement'!B6)*365,0)</f>
        <v>41.16424641551076</v>
      </c>
      <c r="C16" s="25">
        <f>IFERROR((C14/'Income Statement'!C6)*365,0)</f>
        <v>33.614084726879028</v>
      </c>
      <c r="D16" s="25">
        <f>IFERROR((D14/'Income Statement'!D6)*365,0)</f>
        <v>43.829413755767632</v>
      </c>
      <c r="E16" s="25">
        <f>IFERROR((E14/'Income Statement'!E6)*365,0)</f>
        <v>47.166990661010495</v>
      </c>
      <c r="F16" s="25">
        <f>IFERROR((F14/'Income Statement'!F6)*365,0)</f>
        <v>53.154209114925088</v>
      </c>
    </row>
    <row r="17" spans="1:6" ht="45" x14ac:dyDescent="0.25">
      <c r="A17" s="45" t="s">
        <v>131</v>
      </c>
      <c r="B17" s="44" t="str">
        <f>IF(B15&gt;(B13+0.1),"WATCH: Receivables growing faster","OK: Controlled Receivables")</f>
        <v>OK: Controlled Receivables</v>
      </c>
      <c r="C17" s="44" t="str">
        <f>IF(C15&gt;(C13+0.1),"WATCH: Receivables growing faster","OK: Controlled Receivables")</f>
        <v>OK: Controlled Receivables</v>
      </c>
      <c r="D17" s="44" t="str">
        <f>IF(D15&gt;(D13+0.1),"WATCH: Receivables growing faster","OK: Controlled Receivables")</f>
        <v>WATCH: Receivables growing faster</v>
      </c>
      <c r="E17" s="44" t="str">
        <f>IF(E15&gt;(E13+0.1),"WATCH: Receivables growing faster","OK: Controlled Receivables")</f>
        <v>OK: Controlled Receivables</v>
      </c>
      <c r="F17" s="44" t="str">
        <f>IF(F15&gt;(F13+0.1),"WATCH: Receivables growing faster","OK: Controlled Receivables")</f>
        <v>WATCH: Receivables growing faster</v>
      </c>
    </row>
    <row r="18" spans="1:6" ht="12" customHeight="1" x14ac:dyDescent="0.25"/>
    <row r="19" spans="1:6" x14ac:dyDescent="0.25">
      <c r="A19" s="81" t="s">
        <v>132</v>
      </c>
      <c r="B19" s="79"/>
      <c r="C19" s="79"/>
      <c r="D19" s="79"/>
      <c r="E19" s="79"/>
      <c r="F19" s="79"/>
    </row>
    <row r="20" spans="1:6" x14ac:dyDescent="0.25">
      <c r="A20" s="15" t="s">
        <v>133</v>
      </c>
      <c r="B20" s="19">
        <f>IFERROR(('Income Statement'!B11-'Income Statement'!B11)/'Income Statement'!B11, 0)</f>
        <v>0</v>
      </c>
      <c r="C20" s="19">
        <f>IFERROR(('Income Statement'!C11-'Income Statement'!B11)/'Income Statement'!B11, 0)</f>
        <v>6.1591310017227952E-2</v>
      </c>
      <c r="D20" s="19">
        <f>IFERROR(('Income Statement'!D11-'Income Statement'!C11)/'Income Statement'!C11, 0)</f>
        <v>0.29581364741425148</v>
      </c>
      <c r="E20" s="19">
        <f>IFERROR(('Income Statement'!E11-'Income Statement'!D11)/'Income Statement'!D11, 0)</f>
        <v>0.21764847022444883</v>
      </c>
      <c r="F20" s="19">
        <f>IFERROR(('Income Statement'!F11-'Income Statement'!E11)/'Income Statement'!E11, 0)</f>
        <v>0.33717118992969813</v>
      </c>
    </row>
    <row r="21" spans="1:6" x14ac:dyDescent="0.25">
      <c r="A21" s="15" t="s">
        <v>134</v>
      </c>
      <c r="B21" s="23">
        <f>'Balance Sheet'!B22</f>
        <v>21996.47</v>
      </c>
      <c r="C21" s="23">
        <f>'Balance Sheet'!C22</f>
        <v>29513.84</v>
      </c>
      <c r="D21" s="23">
        <f>'Balance Sheet'!D22</f>
        <v>36751.14</v>
      </c>
      <c r="E21" s="23">
        <f>'Balance Sheet'!E22</f>
        <v>36613</v>
      </c>
      <c r="F21" s="23">
        <f>'Balance Sheet'!F22</f>
        <v>55595.98</v>
      </c>
    </row>
    <row r="22" spans="1:6" x14ac:dyDescent="0.25">
      <c r="A22" s="15" t="s">
        <v>135</v>
      </c>
      <c r="B22" s="19">
        <f>IFERROR((B21-B21)/B21,0)</f>
        <v>0</v>
      </c>
      <c r="C22" s="19">
        <f>IFERROR((C21-B21)/B21,0)</f>
        <v>0.34175347226168556</v>
      </c>
      <c r="D22" s="19">
        <f>IFERROR((D21-C21)/C21,0)</f>
        <v>0.24521715913618827</v>
      </c>
      <c r="E22" s="19">
        <f>IFERROR((E21-D21)/D21,0)</f>
        <v>-3.7587949652718097E-3</v>
      </c>
      <c r="F22" s="19">
        <f>IFERROR((F21-E21)/E21,0)</f>
        <v>0.51847649741894963</v>
      </c>
    </row>
    <row r="23" spans="1:6" x14ac:dyDescent="0.25">
      <c r="A23" s="15" t="s">
        <v>136</v>
      </c>
      <c r="B23" s="25">
        <f>IFERROR((B21/'Income Statement'!B11)*365,0)</f>
        <v>87.228279687661797</v>
      </c>
      <c r="C23" s="25">
        <f>IFERROR((C21/'Income Statement'!C11)*365,0)</f>
        <v>110.24849774668398</v>
      </c>
      <c r="D23" s="25">
        <f>IFERROR((D21/'Income Statement'!D11)*365,0)</f>
        <v>105.94372226060601</v>
      </c>
      <c r="E23" s="25">
        <f>IFERROR((E21/'Income Statement'!E11)*365,0)</f>
        <v>86.679780011808745</v>
      </c>
      <c r="F23" s="25">
        <f>IFERROR((F21/'Income Statement'!F11)*365,0)</f>
        <v>98.432578970158957</v>
      </c>
    </row>
    <row r="24" spans="1:6" ht="45" x14ac:dyDescent="0.25">
      <c r="A24" s="45" t="s">
        <v>137</v>
      </c>
      <c r="B24" s="44" t="str">
        <f>IF(B22&gt;(B20+0.1),"WATCH: Inventories piling up","OK: Efficient Turnover")</f>
        <v>OK: Efficient Turnover</v>
      </c>
      <c r="C24" s="44" t="str">
        <f>IF(C22&gt;(C20+0.1),"WATCH: Inventories piling up","OK: Efficient Turnover")</f>
        <v>WATCH: Inventories piling up</v>
      </c>
      <c r="D24" s="44" t="str">
        <f>IF(D22&gt;(D20+0.1),"WATCH: Inventories piling up","OK: Efficient Turnover")</f>
        <v>OK: Efficient Turnover</v>
      </c>
      <c r="E24" s="44" t="str">
        <f>IF(E22&gt;(E20+0.1),"WATCH: Inventories piling up","OK: Efficient Turnover")</f>
        <v>OK: Efficient Turnover</v>
      </c>
      <c r="F24" s="44" t="str">
        <f>IF(F22&gt;(F20+0.1),"WATCH: Inventories piling up","OK: Efficient Turnover")</f>
        <v>WATCH: Inventories piling up</v>
      </c>
    </row>
    <row r="25" spans="1:6" ht="12" customHeight="1" x14ac:dyDescent="0.25"/>
    <row r="26" spans="1:6" x14ac:dyDescent="0.25">
      <c r="A26" s="78" t="s">
        <v>138</v>
      </c>
      <c r="B26" s="79"/>
      <c r="C26" s="79"/>
      <c r="D26" s="79"/>
      <c r="E26" s="79"/>
      <c r="F26" s="79"/>
    </row>
    <row r="27" spans="1:6" x14ac:dyDescent="0.25">
      <c r="A27" s="81" t="s">
        <v>139</v>
      </c>
      <c r="B27" s="79"/>
      <c r="C27" s="79"/>
      <c r="D27" s="79"/>
      <c r="E27" s="79"/>
      <c r="F27" s="79"/>
    </row>
    <row r="28" spans="1:6" x14ac:dyDescent="0.25">
      <c r="A28" s="21" t="s">
        <v>140</v>
      </c>
      <c r="B28" s="26">
        <f>'Balance Sheet'!B30/'Balance Sheet'!B61</f>
        <v>2.3211031446597854</v>
      </c>
      <c r="C28" s="26">
        <f>'Balance Sheet'!C30/'Balance Sheet'!C61</f>
        <v>2.9534249046589203</v>
      </c>
      <c r="D28" s="26">
        <f>'Balance Sheet'!D30/'Balance Sheet'!D61</f>
        <v>2.4547931783826233</v>
      </c>
      <c r="E28" s="26">
        <f>'Balance Sheet'!E30/'Balance Sheet'!E61</f>
        <v>2.6548741847205219</v>
      </c>
      <c r="F28" s="26">
        <f>'Balance Sheet'!F30/'Balance Sheet'!F61</f>
        <v>1.8402308830715037</v>
      </c>
    </row>
    <row r="29" spans="1:6" x14ac:dyDescent="0.25">
      <c r="A29" s="21" t="s">
        <v>141</v>
      </c>
      <c r="B29" s="26">
        <f>IFERROR(('Balance Sheet'!B43+'Balance Sheet'!B52)/('Balance Sheet'!B38), 0)</f>
        <v>1.4814003756669006E-2</v>
      </c>
      <c r="C29" s="26">
        <f>IFERROR(('Balance Sheet'!C43+'Balance Sheet'!C52)/('Balance Sheet'!C38), 0)</f>
        <v>2.3794712731768322E-2</v>
      </c>
      <c r="D29" s="26">
        <f>IFERROR(('Balance Sheet'!D43+'Balance Sheet'!D52)/('Balance Sheet'!D38), 0)</f>
        <v>1.0965253530722717E-2</v>
      </c>
      <c r="E29" s="26">
        <f>IFERROR(('Balance Sheet'!E43+'Balance Sheet'!E52)/('Balance Sheet'!E38), 0)</f>
        <v>1.1091106022503945E-2</v>
      </c>
      <c r="F29" s="26">
        <f>IFERROR(('Balance Sheet'!F43+'Balance Sheet'!F52)/('Balance Sheet'!F38), 0)</f>
        <v>1.103294845283904E-2</v>
      </c>
    </row>
    <row r="30" spans="1:6" x14ac:dyDescent="0.25">
      <c r="A30" s="21" t="s">
        <v>142</v>
      </c>
      <c r="B30" s="19">
        <f>IFERROR(('Balance Sheet'!B43+'Balance Sheet'!B52)/('Balance Sheet'!B38+B43+B52), 0)</f>
        <v>1.4814003756669006E-2</v>
      </c>
      <c r="C30" s="19">
        <f>IFERROR(('Balance Sheet'!C43+'Balance Sheet'!C52)/('Balance Sheet'!C38+C43+C52), 0)</f>
        <v>2.3794712731768322E-2</v>
      </c>
      <c r="D30" s="19">
        <f>IFERROR(('Balance Sheet'!D43+'Balance Sheet'!D52)/('Balance Sheet'!D38+D43+D52), 0)</f>
        <v>1.0965253530722717E-2</v>
      </c>
      <c r="E30" s="19">
        <f>IFERROR(('Balance Sheet'!E43+'Balance Sheet'!E52)/('Balance Sheet'!E38+E43+E52), 0)</f>
        <v>1.1091106022503945E-2</v>
      </c>
      <c r="F30" s="19">
        <f>IFERROR(('Balance Sheet'!F43+'Balance Sheet'!F52)/('Balance Sheet'!F38+F43+F52), 0)</f>
        <v>1.103294845283904E-2</v>
      </c>
    </row>
    <row r="31" spans="1:6" x14ac:dyDescent="0.25">
      <c r="A31" s="21" t="s">
        <v>143</v>
      </c>
      <c r="B31" s="26">
        <f>IFERROR('Income Statement'!B23/'Income Statement'!B16, 0)</f>
        <v>30.226768968456948</v>
      </c>
      <c r="C31" s="26">
        <f>IFERROR('Income Statement'!C23/'Income Statement'!C16, 0)</f>
        <v>27.493850092876134</v>
      </c>
      <c r="D31" s="26">
        <f>IFERROR('Income Statement'!D23/'Income Statement'!D16, 0)</f>
        <v>20.738093040428275</v>
      </c>
      <c r="E31" s="26">
        <f>IFERROR('Income Statement'!E23/'Income Statement'!E16, 0)</f>
        <v>15.759003835953777</v>
      </c>
      <c r="F31" s="26">
        <f>IFERROR('Income Statement'!F23/'Income Statement'!F16, 0)</f>
        <v>14.894332526868434</v>
      </c>
    </row>
    <row r="32" spans="1:6" ht="12" customHeight="1" x14ac:dyDescent="0.25"/>
    <row r="33" spans="1:6" x14ac:dyDescent="0.25">
      <c r="A33" s="81" t="s">
        <v>144</v>
      </c>
      <c r="B33" s="79"/>
      <c r="C33" s="79"/>
      <c r="D33" s="79"/>
      <c r="E33" s="79"/>
      <c r="F33" s="79"/>
    </row>
    <row r="34" spans="1:6" x14ac:dyDescent="0.25">
      <c r="A34" s="21" t="s">
        <v>145</v>
      </c>
      <c r="B34" s="19">
        <f>IFERROR('Income Statement'!B34/'Balance Sheet'!B38, 0)</f>
        <v>0.15246581685544111</v>
      </c>
      <c r="C34" s="19">
        <f>IFERROR('Income Statement'!C34/'Balance Sheet'!C38, 0)</f>
        <v>0.19349411722303417</v>
      </c>
      <c r="D34" s="19">
        <f>IFERROR('Income Statement'!D34/'Balance Sheet'!D38, 0)</f>
        <v>0.22021344709882593</v>
      </c>
      <c r="E34" s="19">
        <f>IFERROR('Income Statement'!E34/'Balance Sheet'!E38, 0)</f>
        <v>0.20813243312130425</v>
      </c>
      <c r="F34" s="19">
        <f>IFERROR('Income Statement'!F34/'Balance Sheet'!F38, 0)</f>
        <v>0.22554106332008028</v>
      </c>
    </row>
    <row r="35" spans="1:6" x14ac:dyDescent="0.25">
      <c r="A35" s="21" t="s">
        <v>146</v>
      </c>
      <c r="B35" s="19">
        <f>IFERROR('Income Statement'!B23/('Balance Sheet'!B38+B43+B52), 0)</f>
        <v>0.1918704355055548</v>
      </c>
      <c r="C35" s="19">
        <f>IFERROR('Income Statement'!C23/('Balance Sheet'!C38+C43+C52), 0)</f>
        <v>0.24776294020165762</v>
      </c>
      <c r="D35" s="19">
        <f>IFERROR('Income Statement'!D23/('Balance Sheet'!D38+D43+D52), 0)</f>
        <v>0.27442631328618777</v>
      </c>
      <c r="E35" s="19">
        <f>IFERROR('Income Statement'!E23/('Balance Sheet'!E38+E43+E52), 0)</f>
        <v>0.27087119475827109</v>
      </c>
      <c r="F35" s="19">
        <f>IFERROR('Income Statement'!F23/('Balance Sheet'!F38+F43+F52), 0)</f>
        <v>0.30143948791263819</v>
      </c>
    </row>
  </sheetData>
  <mergeCells count="7">
    <mergeCell ref="A33:F33"/>
    <mergeCell ref="A19:F19"/>
    <mergeCell ref="A5:F5"/>
    <mergeCell ref="A27:F27"/>
    <mergeCell ref="A6:F6"/>
    <mergeCell ref="A12:F12"/>
    <mergeCell ref="A26:F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1"/>
  <sheetViews>
    <sheetView showGridLines="0" workbookViewId="0"/>
  </sheetViews>
  <sheetFormatPr defaultRowHeight="15" x14ac:dyDescent="0.25"/>
  <cols>
    <col min="1" max="1" width="55" customWidth="1"/>
    <col min="2" max="6" width="15" customWidth="1"/>
  </cols>
  <sheetData>
    <row r="1" spans="1:6" ht="21" x14ac:dyDescent="0.35">
      <c r="A1" s="29" t="s">
        <v>39</v>
      </c>
    </row>
    <row r="2" spans="1:6" x14ac:dyDescent="0.25">
      <c r="A2" s="30" t="s">
        <v>224</v>
      </c>
    </row>
    <row r="4" spans="1:6" x14ac:dyDescent="0.25">
      <c r="A4" s="31" t="s">
        <v>147</v>
      </c>
      <c r="B4" s="32" t="s">
        <v>28</v>
      </c>
      <c r="C4" s="32" t="s">
        <v>29</v>
      </c>
      <c r="D4" s="32" t="s">
        <v>30</v>
      </c>
      <c r="E4" s="32" t="s">
        <v>31</v>
      </c>
      <c r="F4" s="32" t="s">
        <v>32</v>
      </c>
    </row>
    <row r="5" spans="1:6" x14ac:dyDescent="0.25">
      <c r="A5" s="33" t="s">
        <v>148</v>
      </c>
      <c r="B5" s="34"/>
      <c r="C5" s="34"/>
      <c r="D5" s="34"/>
      <c r="E5" s="34"/>
      <c r="F5" s="34"/>
    </row>
    <row r="6" spans="1:6" x14ac:dyDescent="0.25">
      <c r="A6" s="35" t="s">
        <v>149</v>
      </c>
      <c r="B6" s="36">
        <f>'Balance Sheet'!B7</f>
        <v>16170.25</v>
      </c>
      <c r="C6" s="36">
        <f>'Balance Sheet'!C7</f>
        <v>20104.28</v>
      </c>
      <c r="D6" s="36">
        <f>'Balance Sheet'!D7</f>
        <v>21677.57</v>
      </c>
      <c r="E6" s="36">
        <f>'Balance Sheet'!E7</f>
        <v>27913.26</v>
      </c>
      <c r="F6" s="36">
        <f>'Balance Sheet'!F7</f>
        <v>35050.71</v>
      </c>
    </row>
    <row r="7" spans="1:6" x14ac:dyDescent="0.25">
      <c r="A7" s="35" t="s">
        <v>150</v>
      </c>
      <c r="B7" s="36">
        <f>'Balance Sheet'!B8</f>
        <v>3754.5</v>
      </c>
      <c r="C7" s="36">
        <f>'Balance Sheet'!C8</f>
        <v>2507.67</v>
      </c>
      <c r="D7" s="36">
        <f>'Balance Sheet'!D8</f>
        <v>5784.46</v>
      </c>
      <c r="E7" s="36">
        <f>'Balance Sheet'!E8</f>
        <v>7081.44</v>
      </c>
      <c r="F7" s="36">
        <f>'Balance Sheet'!F8</f>
        <v>11392.59</v>
      </c>
    </row>
    <row r="8" spans="1:6" x14ac:dyDescent="0.25">
      <c r="A8" s="35" t="s">
        <v>151</v>
      </c>
      <c r="B8" s="36">
        <f>'Balance Sheet'!B9</f>
        <v>0</v>
      </c>
      <c r="C8" s="36">
        <f>'Balance Sheet'!C9</f>
        <v>0</v>
      </c>
      <c r="D8" s="36">
        <f>'Balance Sheet'!D9</f>
        <v>762.98</v>
      </c>
      <c r="E8" s="36">
        <f>'Balance Sheet'!E9</f>
        <v>790.08</v>
      </c>
      <c r="F8" s="36">
        <f>'Balance Sheet'!F9</f>
        <v>883.02</v>
      </c>
    </row>
    <row r="9" spans="1:6" x14ac:dyDescent="0.25">
      <c r="A9" s="37" t="s">
        <v>152</v>
      </c>
      <c r="B9" s="18">
        <f>SUM(B6:B8)</f>
        <v>19924.75</v>
      </c>
      <c r="C9" s="18">
        <f>SUM(C6:C8)</f>
        <v>22611.949999999997</v>
      </c>
      <c r="D9" s="18">
        <f>SUM(D6:D8)</f>
        <v>28225.01</v>
      </c>
      <c r="E9" s="18">
        <f>SUM(E6:E8)</f>
        <v>35784.78</v>
      </c>
      <c r="F9" s="18">
        <f>SUM(F6:F8)</f>
        <v>47326.32</v>
      </c>
    </row>
    <row r="11" spans="1:6" x14ac:dyDescent="0.25">
      <c r="A11" s="35" t="s">
        <v>153</v>
      </c>
      <c r="B11" s="36">
        <v>2281.66</v>
      </c>
      <c r="C11" s="36">
        <v>4285.95</v>
      </c>
      <c r="D11" s="36">
        <v>10575.3</v>
      </c>
      <c r="E11" s="36">
        <v>2515.59</v>
      </c>
      <c r="F11" s="36">
        <v>14799</v>
      </c>
    </row>
    <row r="13" spans="1:6" x14ac:dyDescent="0.25">
      <c r="A13" s="33" t="s">
        <v>154</v>
      </c>
      <c r="B13" s="34"/>
      <c r="C13" s="34"/>
      <c r="D13" s="34"/>
      <c r="E13" s="34"/>
      <c r="F13" s="34"/>
    </row>
    <row r="14" spans="1:6" x14ac:dyDescent="0.25">
      <c r="A14" s="35" t="s">
        <v>155</v>
      </c>
      <c r="B14" s="36">
        <f>'Balance Sheet'!B24</f>
        <v>12963.94</v>
      </c>
      <c r="C14" s="36">
        <f>'Balance Sheet'!C24</f>
        <v>12465.96</v>
      </c>
      <c r="D14" s="36">
        <f>'Balance Sheet'!D24</f>
        <v>20471.169999999998</v>
      </c>
      <c r="E14" s="36">
        <f>'Balance Sheet'!E24</f>
        <v>25962.68</v>
      </c>
      <c r="F14" s="36">
        <f>'Balance Sheet'!F24</f>
        <v>37585.040000000001</v>
      </c>
    </row>
    <row r="15" spans="1:6" x14ac:dyDescent="0.25">
      <c r="A15" s="35" t="s">
        <v>156</v>
      </c>
      <c r="B15" s="36">
        <f>'Balance Sheet'!B14</f>
        <v>799.31</v>
      </c>
      <c r="C15" s="36">
        <f>'Balance Sheet'!C14</f>
        <v>526.37</v>
      </c>
      <c r="D15" s="36">
        <f>'Balance Sheet'!D14</f>
        <v>1190.7</v>
      </c>
      <c r="E15" s="36">
        <f>'Balance Sheet'!E14</f>
        <v>2994.38</v>
      </c>
      <c r="F15" s="36">
        <f>'Balance Sheet'!F14</f>
        <v>4477.84</v>
      </c>
    </row>
    <row r="16" spans="1:6" x14ac:dyDescent="0.25">
      <c r="A16" s="35" t="s">
        <v>157</v>
      </c>
      <c r="B16" s="38">
        <v>-1249.1600000000001</v>
      </c>
      <c r="C16" s="38">
        <v>-1163.08</v>
      </c>
      <c r="D16" s="38">
        <v>-1352.68</v>
      </c>
      <c r="E16" s="38">
        <v>-1267.03</v>
      </c>
      <c r="F16" s="38">
        <v>-1185.31</v>
      </c>
    </row>
    <row r="17" spans="1:6" x14ac:dyDescent="0.25">
      <c r="A17" s="37" t="s">
        <v>158</v>
      </c>
      <c r="B17" s="18">
        <f>B14+B15-B16</f>
        <v>15012.41</v>
      </c>
      <c r="C17" s="18">
        <f>C14+C15-C16</f>
        <v>14155.41</v>
      </c>
      <c r="D17" s="18">
        <f>D14+D15-D16</f>
        <v>23014.55</v>
      </c>
      <c r="E17" s="18">
        <f>E14+E15-E16</f>
        <v>30224.09</v>
      </c>
      <c r="F17" s="18">
        <f>F14+F15-F16</f>
        <v>43248.19</v>
      </c>
    </row>
    <row r="19" spans="1:6" x14ac:dyDescent="0.25">
      <c r="A19" s="33" t="s">
        <v>159</v>
      </c>
      <c r="B19" s="34"/>
      <c r="C19" s="34"/>
      <c r="D19" s="34"/>
      <c r="E19" s="34"/>
      <c r="F19" s="34"/>
    </row>
    <row r="20" spans="1:6" x14ac:dyDescent="0.25">
      <c r="A20" s="35" t="s">
        <v>160</v>
      </c>
      <c r="B20" s="36">
        <f>'Balance Sheet'!B54</f>
        <v>12257.56</v>
      </c>
      <c r="C20" s="36">
        <f>'Balance Sheet'!C54</f>
        <v>12257.56</v>
      </c>
      <c r="D20" s="36">
        <f>'Balance Sheet'!D54</f>
        <v>18619.66</v>
      </c>
      <c r="E20" s="36">
        <f>'Balance Sheet'!E54</f>
        <v>13062.37</v>
      </c>
      <c r="F20" s="36">
        <f>'Balance Sheet'!F54</f>
        <v>42656.19</v>
      </c>
    </row>
    <row r="21" spans="1:6" x14ac:dyDescent="0.25">
      <c r="A21" s="17" t="s">
        <v>161</v>
      </c>
      <c r="B21" s="39">
        <f>B20/'Balance Sheet'!B61</f>
        <v>0.55517580292317925</v>
      </c>
      <c r="C21" s="39">
        <f>C20/'Balance Sheet'!C61</f>
        <v>0.52399910568977104</v>
      </c>
      <c r="D21" s="39">
        <f>D20/'Balance Sheet'!D61</f>
        <v>0.52453085745740424</v>
      </c>
      <c r="E21" s="39">
        <f>E20/'Balance Sheet'!E61</f>
        <v>0.37213181446013932</v>
      </c>
      <c r="F21" s="39">
        <f>F20/'Balance Sheet'!F61</f>
        <v>0.53552898065646204</v>
      </c>
    </row>
    <row r="23" spans="1:6" x14ac:dyDescent="0.25">
      <c r="A23" s="33" t="s">
        <v>162</v>
      </c>
      <c r="B23" s="34"/>
      <c r="C23" s="34"/>
      <c r="D23" s="34"/>
      <c r="E23" s="34"/>
      <c r="F23" s="34"/>
    </row>
    <row r="24" spans="1:6" x14ac:dyDescent="0.25">
      <c r="A24" s="35" t="s">
        <v>163</v>
      </c>
      <c r="B24" s="36">
        <f>'Balance Sheet'!B53</f>
        <v>103.34</v>
      </c>
      <c r="C24" s="36">
        <f>'Balance Sheet'!C53</f>
        <v>138.96</v>
      </c>
      <c r="D24" s="36">
        <f>'Balance Sheet'!D53</f>
        <v>468.23</v>
      </c>
      <c r="E24" s="36">
        <f>'Balance Sheet'!E53</f>
        <v>224.99</v>
      </c>
      <c r="F24" s="36">
        <f>'Balance Sheet'!F53</f>
        <v>226.55</v>
      </c>
    </row>
    <row r="25" spans="1:6" x14ac:dyDescent="0.25">
      <c r="A25" s="35" t="s">
        <v>164</v>
      </c>
      <c r="B25" s="36">
        <f>'Balance Sheet'!B44</f>
        <v>0</v>
      </c>
      <c r="C25" s="36">
        <f>'Balance Sheet'!C44</f>
        <v>224.33</v>
      </c>
      <c r="D25" s="36">
        <f>'Balance Sheet'!D44</f>
        <v>244.96</v>
      </c>
      <c r="E25" s="36">
        <f>'Balance Sheet'!E44</f>
        <v>709.34</v>
      </c>
      <c r="F25" s="36">
        <f>'Balance Sheet'!F44</f>
        <v>803.72</v>
      </c>
    </row>
    <row r="26" spans="1:6" x14ac:dyDescent="0.25">
      <c r="A26" s="37" t="s">
        <v>165</v>
      </c>
      <c r="B26" s="18">
        <f>SUM(B24:B25)</f>
        <v>103.34</v>
      </c>
      <c r="C26" s="18">
        <f>SUM(C24:C25)</f>
        <v>363.29</v>
      </c>
      <c r="D26" s="18">
        <f>SUM(D24:D25)</f>
        <v>713.19</v>
      </c>
      <c r="E26" s="18">
        <f>SUM(E24:E25)</f>
        <v>934.33</v>
      </c>
      <c r="F26" s="18">
        <f>SUM(F24:F25)</f>
        <v>1030.27</v>
      </c>
    </row>
    <row r="28" spans="1:6" x14ac:dyDescent="0.25">
      <c r="A28" s="33" t="s">
        <v>166</v>
      </c>
      <c r="B28" s="34"/>
      <c r="C28" s="34"/>
      <c r="D28" s="34"/>
      <c r="E28" s="34"/>
      <c r="F28" s="34"/>
    </row>
    <row r="29" spans="1:6" x14ac:dyDescent="0.25">
      <c r="A29" s="35" t="s">
        <v>167</v>
      </c>
      <c r="B29" s="36">
        <v>0</v>
      </c>
      <c r="C29" s="36">
        <v>0</v>
      </c>
      <c r="D29" s="36">
        <v>0</v>
      </c>
      <c r="E29" s="36">
        <v>0</v>
      </c>
      <c r="F29" s="36">
        <v>270</v>
      </c>
    </row>
    <row r="30" spans="1:6" x14ac:dyDescent="0.25">
      <c r="A30" s="35" t="s">
        <v>168</v>
      </c>
      <c r="B30" s="36">
        <v>191.89</v>
      </c>
      <c r="C30" s="36">
        <v>224.79</v>
      </c>
      <c r="D30" s="36">
        <v>259.01</v>
      </c>
      <c r="E30" s="36">
        <v>180.31</v>
      </c>
      <c r="F30" s="36">
        <v>444.42</v>
      </c>
    </row>
    <row r="31" spans="1:6" x14ac:dyDescent="0.25">
      <c r="A31" s="35" t="s">
        <v>169</v>
      </c>
      <c r="B31" s="36">
        <f>'Income Statement'!B16</f>
        <v>351.9</v>
      </c>
      <c r="C31" s="36">
        <f>'Income Statement'!C16</f>
        <v>597.57000000000005</v>
      </c>
      <c r="D31" s="36">
        <f>'Income Statement'!D16</f>
        <v>1083.4000000000001</v>
      </c>
      <c r="E31" s="36">
        <f>'Income Statement'!E16</f>
        <v>1689.28</v>
      </c>
      <c r="F31" s="36">
        <f>'Income Statement'!F16</f>
        <v>2430.36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showGridLines="0" workbookViewId="0"/>
  </sheetViews>
  <sheetFormatPr defaultRowHeight="15" x14ac:dyDescent="0.25"/>
  <cols>
    <col min="1" max="1" width="35" customWidth="1"/>
    <col min="2" max="2" width="85" customWidth="1"/>
  </cols>
  <sheetData>
    <row r="1" spans="1:2" ht="21" x14ac:dyDescent="0.35">
      <c r="A1" s="29" t="s">
        <v>39</v>
      </c>
    </row>
    <row r="2" spans="1:2" x14ac:dyDescent="0.25">
      <c r="A2" s="30" t="s">
        <v>170</v>
      </c>
    </row>
    <row r="4" spans="1:2" x14ac:dyDescent="0.25">
      <c r="A4" s="31" t="s">
        <v>171</v>
      </c>
      <c r="B4" s="31" t="s">
        <v>172</v>
      </c>
    </row>
    <row r="5" spans="1:2" ht="120" x14ac:dyDescent="0.25">
      <c r="A5" s="40" t="s">
        <v>173</v>
      </c>
      <c r="B5" s="41" t="s">
        <v>174</v>
      </c>
    </row>
    <row r="6" spans="1:2" ht="120" x14ac:dyDescent="0.25">
      <c r="A6" s="42" t="s">
        <v>175</v>
      </c>
      <c r="B6" s="71" t="s">
        <v>227</v>
      </c>
    </row>
    <row r="7" spans="1:2" ht="120" x14ac:dyDescent="0.25">
      <c r="A7" s="40" t="s">
        <v>176</v>
      </c>
      <c r="B7" s="41" t="s">
        <v>177</v>
      </c>
    </row>
    <row r="8" spans="1:2" ht="120" x14ac:dyDescent="0.25">
      <c r="A8" s="42" t="s">
        <v>178</v>
      </c>
      <c r="B8" s="43" t="s">
        <v>179</v>
      </c>
    </row>
    <row r="9" spans="1:2" ht="90" x14ac:dyDescent="0.25">
      <c r="A9" s="40" t="s">
        <v>180</v>
      </c>
      <c r="B9" s="41" t="s">
        <v>181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3"/>
  <sheetViews>
    <sheetView showGridLines="0" workbookViewId="0"/>
  </sheetViews>
  <sheetFormatPr defaultRowHeight="15" x14ac:dyDescent="0.25"/>
  <cols>
    <col min="1" max="1" width="44.140625" bestFit="1" customWidth="1"/>
    <col min="2" max="2" width="9.140625" bestFit="1" customWidth="1"/>
    <col min="3" max="6" width="10.7109375" bestFit="1" customWidth="1"/>
    <col min="7" max="7" width="34.140625" bestFit="1" customWidth="1"/>
  </cols>
  <sheetData>
    <row r="1" spans="1:7" ht="21" x14ac:dyDescent="0.35">
      <c r="A1" s="29" t="s">
        <v>39</v>
      </c>
    </row>
    <row r="2" spans="1:7" x14ac:dyDescent="0.25">
      <c r="A2" s="30" t="s">
        <v>182</v>
      </c>
    </row>
    <row r="4" spans="1:7" x14ac:dyDescent="0.25">
      <c r="A4" s="49" t="s">
        <v>183</v>
      </c>
      <c r="B4" s="50" t="s">
        <v>28</v>
      </c>
      <c r="C4" s="50" t="s">
        <v>29</v>
      </c>
      <c r="D4" s="50" t="s">
        <v>30</v>
      </c>
      <c r="E4" s="50" t="s">
        <v>31</v>
      </c>
      <c r="F4" s="50" t="s">
        <v>32</v>
      </c>
      <c r="G4" s="50" t="s">
        <v>184</v>
      </c>
    </row>
    <row r="5" spans="1:7" x14ac:dyDescent="0.25">
      <c r="A5" s="51" t="s">
        <v>185</v>
      </c>
      <c r="B5" s="52"/>
      <c r="C5" s="52"/>
      <c r="D5" s="52"/>
      <c r="E5" s="52"/>
      <c r="F5" s="52"/>
      <c r="G5" s="52"/>
    </row>
    <row r="6" spans="1:7" x14ac:dyDescent="0.25">
      <c r="A6" s="53" t="s">
        <v>186</v>
      </c>
      <c r="B6" s="54">
        <v>94483</v>
      </c>
      <c r="C6" s="54">
        <v>124136</v>
      </c>
      <c r="D6" s="54">
        <v>126522</v>
      </c>
      <c r="E6" s="54">
        <v>157554</v>
      </c>
      <c r="F6" s="54">
        <v>193461</v>
      </c>
      <c r="G6" s="46" t="s">
        <v>187</v>
      </c>
    </row>
    <row r="7" spans="1:7" x14ac:dyDescent="0.25">
      <c r="A7" s="55" t="s">
        <v>188</v>
      </c>
      <c r="B7" s="56">
        <v>0.155</v>
      </c>
      <c r="C7" s="56">
        <v>0.17</v>
      </c>
      <c r="D7" s="56">
        <v>0.17</v>
      </c>
      <c r="E7" s="56">
        <v>0.17</v>
      </c>
      <c r="F7" s="56">
        <v>0.183</v>
      </c>
      <c r="G7" s="47" t="s">
        <v>189</v>
      </c>
    </row>
    <row r="8" spans="1:7" x14ac:dyDescent="0.25">
      <c r="A8" s="53" t="s">
        <v>190</v>
      </c>
      <c r="B8" s="57">
        <v>5000</v>
      </c>
      <c r="C8" s="57">
        <v>6528</v>
      </c>
      <c r="D8" s="57">
        <v>22568</v>
      </c>
      <c r="E8" s="57">
        <v>29061</v>
      </c>
      <c r="F8" s="57">
        <v>31710</v>
      </c>
      <c r="G8" s="46" t="s">
        <v>191</v>
      </c>
    </row>
    <row r="9" spans="1:7" x14ac:dyDescent="0.25">
      <c r="A9" s="55" t="s">
        <v>192</v>
      </c>
      <c r="B9" s="58">
        <v>105053</v>
      </c>
      <c r="C9" s="58">
        <v>123181</v>
      </c>
      <c r="D9" s="58">
        <v>156937</v>
      </c>
      <c r="E9" s="58">
        <v>155118</v>
      </c>
      <c r="F9" s="58">
        <v>169691</v>
      </c>
      <c r="G9" s="47" t="s">
        <v>193</v>
      </c>
    </row>
    <row r="10" spans="1:7" x14ac:dyDescent="0.25">
      <c r="A10" s="59" t="s">
        <v>194</v>
      </c>
      <c r="B10" s="60">
        <f>SUM(B8:B9)</f>
        <v>110053</v>
      </c>
      <c r="C10" s="60">
        <f>SUM(C8:C9)</f>
        <v>129709</v>
      </c>
      <c r="D10" s="60">
        <f>SUM(D8:D9)</f>
        <v>179505</v>
      </c>
      <c r="E10" s="60">
        <f>SUM(E8:E9)</f>
        <v>184179</v>
      </c>
      <c r="F10" s="60">
        <f>SUM(F8:F9)</f>
        <v>201401</v>
      </c>
      <c r="G10" s="48" t="s">
        <v>195</v>
      </c>
    </row>
    <row r="11" spans="1:7" ht="25.5" x14ac:dyDescent="0.25">
      <c r="A11" s="55" t="s">
        <v>196</v>
      </c>
      <c r="B11" s="61">
        <v>8.68</v>
      </c>
      <c r="C11" s="61">
        <v>9.32</v>
      </c>
      <c r="D11" s="61">
        <v>9.94</v>
      </c>
      <c r="E11" s="61">
        <v>8.4</v>
      </c>
      <c r="F11" s="61">
        <v>7.14</v>
      </c>
      <c r="G11" s="47" t="s">
        <v>197</v>
      </c>
    </row>
    <row r="12" spans="1:7" x14ac:dyDescent="0.25">
      <c r="A12" s="53" t="s">
        <v>198</v>
      </c>
      <c r="B12" s="57">
        <v>680000</v>
      </c>
      <c r="C12" s="57">
        <v>762603</v>
      </c>
      <c r="D12" s="57">
        <v>752000</v>
      </c>
      <c r="E12" s="57">
        <v>412000</v>
      </c>
      <c r="F12" s="57">
        <v>407443</v>
      </c>
      <c r="G12" s="46" t="s">
        <v>199</v>
      </c>
    </row>
    <row r="13" spans="1:7" x14ac:dyDescent="0.25">
      <c r="A13" s="55" t="s">
        <v>200</v>
      </c>
      <c r="B13" s="61">
        <v>11000</v>
      </c>
      <c r="C13" s="61">
        <v>12000</v>
      </c>
      <c r="D13" s="61">
        <v>14500</v>
      </c>
      <c r="E13" s="61">
        <v>19220</v>
      </c>
      <c r="F13" s="61">
        <v>18357</v>
      </c>
      <c r="G13" s="47" t="s">
        <v>201</v>
      </c>
    </row>
    <row r="14" spans="1:7" ht="30" x14ac:dyDescent="0.25">
      <c r="A14" s="53" t="s">
        <v>202</v>
      </c>
      <c r="B14" s="62">
        <v>0.65</v>
      </c>
      <c r="C14" s="62">
        <v>0.7</v>
      </c>
      <c r="D14" s="62">
        <v>0.75</v>
      </c>
      <c r="E14" s="62">
        <v>0.8</v>
      </c>
      <c r="F14" s="62">
        <v>0.83599999999999997</v>
      </c>
      <c r="G14" s="46" t="s">
        <v>203</v>
      </c>
    </row>
    <row r="15" spans="1:7" x14ac:dyDescent="0.25">
      <c r="A15" s="51" t="s">
        <v>204</v>
      </c>
      <c r="B15" s="52"/>
      <c r="C15" s="52"/>
      <c r="D15" s="52"/>
      <c r="E15" s="52"/>
      <c r="F15" s="52"/>
      <c r="G15" s="52"/>
    </row>
    <row r="16" spans="1:7" ht="30" x14ac:dyDescent="0.25">
      <c r="A16" s="59" t="s">
        <v>168</v>
      </c>
      <c r="B16" s="60">
        <f>'Notes to Accounts Linkages'!B30</f>
        <v>191.89</v>
      </c>
      <c r="C16" s="60">
        <f>'Notes to Accounts Linkages'!C30</f>
        <v>224.79</v>
      </c>
      <c r="D16" s="60">
        <f>'Notes to Accounts Linkages'!D30</f>
        <v>259.01</v>
      </c>
      <c r="E16" s="60">
        <f>'Notes to Accounts Linkages'!E30</f>
        <v>180.31</v>
      </c>
      <c r="F16" s="60">
        <f>'Notes to Accounts Linkages'!F30</f>
        <v>444.42</v>
      </c>
      <c r="G16" s="48" t="s">
        <v>205</v>
      </c>
    </row>
    <row r="17" spans="1:7" ht="30" x14ac:dyDescent="0.25">
      <c r="A17" s="55" t="s">
        <v>206</v>
      </c>
      <c r="B17" s="61">
        <v>0.05</v>
      </c>
      <c r="C17" s="61">
        <v>0.1</v>
      </c>
      <c r="D17" s="61">
        <v>0.23499999999999999</v>
      </c>
      <c r="E17" s="61">
        <v>0.23499999999999999</v>
      </c>
      <c r="F17" s="61">
        <v>0.50700000000000001</v>
      </c>
      <c r="G17" s="47" t="s">
        <v>207</v>
      </c>
    </row>
    <row r="18" spans="1:7" ht="30" x14ac:dyDescent="0.25">
      <c r="A18" s="53" t="s">
        <v>208</v>
      </c>
      <c r="B18" s="54">
        <v>0.1</v>
      </c>
      <c r="C18" s="54">
        <v>0.09</v>
      </c>
      <c r="D18" s="54">
        <v>8.5000000000000006E-2</v>
      </c>
      <c r="E18" s="54">
        <v>7.4999999999999997E-2</v>
      </c>
      <c r="F18" s="54">
        <v>6.7000000000000004E-2</v>
      </c>
      <c r="G18" s="46" t="s">
        <v>209</v>
      </c>
    </row>
    <row r="19" spans="1:7" ht="30" x14ac:dyDescent="0.25">
      <c r="A19" s="55" t="s">
        <v>210</v>
      </c>
      <c r="B19" s="56">
        <v>3.5000000000000003E-2</v>
      </c>
      <c r="C19" s="56">
        <v>4.1000000000000002E-2</v>
      </c>
      <c r="D19" s="56">
        <v>4.4999999999999998E-2</v>
      </c>
      <c r="E19" s="56">
        <v>5.0999999999999997E-2</v>
      </c>
      <c r="F19" s="56">
        <v>5.2999999999999999E-2</v>
      </c>
      <c r="G19" s="47" t="s">
        <v>211</v>
      </c>
    </row>
    <row r="20" spans="1:7" x14ac:dyDescent="0.25">
      <c r="A20" s="51" t="s">
        <v>212</v>
      </c>
      <c r="B20" s="52"/>
      <c r="C20" s="52"/>
      <c r="D20" s="52"/>
      <c r="E20" s="52"/>
      <c r="F20" s="52"/>
      <c r="G20" s="52"/>
    </row>
    <row r="21" spans="1:7" x14ac:dyDescent="0.25">
      <c r="A21" s="59" t="s">
        <v>213</v>
      </c>
      <c r="B21" s="63">
        <v>0.5</v>
      </c>
      <c r="C21" s="63">
        <v>0.5</v>
      </c>
      <c r="D21" s="63">
        <v>0.5</v>
      </c>
      <c r="E21" s="63">
        <v>0.55000000000000004</v>
      </c>
      <c r="F21" s="63">
        <v>0.56000000000000005</v>
      </c>
      <c r="G21" s="48" t="s">
        <v>214</v>
      </c>
    </row>
    <row r="22" spans="1:7" x14ac:dyDescent="0.25">
      <c r="A22" s="59" t="s">
        <v>215</v>
      </c>
      <c r="B22" s="63">
        <v>1</v>
      </c>
      <c r="C22" s="63">
        <v>1</v>
      </c>
      <c r="D22" s="63">
        <v>1</v>
      </c>
      <c r="E22" s="63">
        <v>1</v>
      </c>
      <c r="F22" s="63">
        <v>1</v>
      </c>
      <c r="G22" s="48" t="s">
        <v>216</v>
      </c>
    </row>
    <row r="23" spans="1:7" x14ac:dyDescent="0.25">
      <c r="A23" s="55" t="s">
        <v>217</v>
      </c>
      <c r="B23" s="56">
        <v>1</v>
      </c>
      <c r="C23" s="56">
        <v>1</v>
      </c>
      <c r="D23" s="56">
        <v>1</v>
      </c>
      <c r="E23" s="56">
        <v>1</v>
      </c>
      <c r="F23" s="56">
        <v>1</v>
      </c>
      <c r="G23" s="47" t="s">
        <v>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TOC &amp; Summary</vt:lpstr>
      <vt:lpstr>Income Statement</vt:lpstr>
      <vt:lpstr>Balance Sheet</vt:lpstr>
      <vt:lpstr>Forensic &amp; Ratio Analysis</vt:lpstr>
      <vt:lpstr>Notes to Accounts Linkages</vt:lpstr>
      <vt:lpstr>MD&amp;A Strategic Analysis</vt:lpstr>
      <vt:lpstr>ESG Performance (BRSR)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Sahil .</cp:lastModifiedBy>
  <dcterms:created xsi:type="dcterms:W3CDTF">2026-08-24T18:51:02Z</dcterms:created>
  <dcterms:modified xsi:type="dcterms:W3CDTF">2026-08-24T22:22:57Z</dcterms:modified>
</cp:coreProperties>
</file>